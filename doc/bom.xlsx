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<sst xmlns="http://schemas.openxmlformats.org/spreadsheetml/2006/main" count="347" uniqueCount="161">
  <si>
    <t xml:space="preserve">Subassembly</t>
  </si>
  <si>
    <t xml:space="preserve">Category</t>
  </si>
  <si>
    <t xml:space="preserve">Part</t>
  </si>
  <si>
    <t xml:space="preserve">Specifications</t>
  </si>
  <si>
    <t xml:space="preserve">Quantity</t>
  </si>
  <si>
    <t xml:space="preserve">Unit Cost</t>
  </si>
  <si>
    <t xml:space="preserve">Total Cost</t>
  </si>
  <si>
    <t xml:space="preserve">LCSC</t>
  </si>
  <si>
    <t xml:space="preserve">Source</t>
  </si>
  <si>
    <t xml:space="preserve">Link</t>
  </si>
  <si>
    <t xml:space="preserve">Notes</t>
  </si>
  <si>
    <t xml:space="preserve">Tactile</t>
  </si>
  <si>
    <t xml:space="preserve">Keycap set</t>
  </si>
  <si>
    <t xml:space="preserve">3dKeycap</t>
  </si>
  <si>
    <t xml:space="preserve">https://3dkeycap.com/products/mx-chicago-steno-keycap-set?variant=46916802117890</t>
  </si>
  <si>
    <t xml:space="preserve">Minimum 2 R1, 10 R2, 10 R3, 10 R4, 6/4 R5, 6/8 thumb</t>
  </si>
  <si>
    <t xml:space="preserve">Connector PCB</t>
  </si>
  <si>
    <t xml:space="preserve">Electronic</t>
  </si>
  <si>
    <t xml:space="preserve">Magnetic pogo pin connector</t>
  </si>
  <si>
    <t xml:space="preserve">pair, 12-pin</t>
  </si>
  <si>
    <t xml:space="preserve">AliBaba</t>
  </si>
  <si>
    <t xml:space="preserve">https://www.alibaba.com/product-detail/Fool-proof-Customizable-2-12-Pin_1601813292668.html</t>
  </si>
  <si>
    <t xml:space="preserve">Mechanical</t>
  </si>
  <si>
    <t xml:space="preserve">Veichu VCN310 BTU</t>
  </si>
  <si>
    <t xml:space="preserve">https://www.alibaba.com/product-detail/VEICHU-VCN310-311-New-Stainless-Steel_1601020185379.html</t>
  </si>
  <si>
    <t xml:space="preserve">Sensor PCB</t>
  </si>
  <si>
    <t xml:space="preserve">Trackball Sensor</t>
  </si>
  <si>
    <t xml:space="preserve">PMW-3610DM-SUDU</t>
  </si>
  <si>
    <t xml:space="preserve">AliExpress</t>
  </si>
  <si>
    <t xml:space="preserve">https://www.aliexpress.us/item/3256806932453023.html</t>
  </si>
  <si>
    <t xml:space="preserve">Battery</t>
  </si>
  <si>
    <t xml:space="preserve">401230</t>
  </si>
  <si>
    <t xml:space="preserve">Amazon</t>
  </si>
  <si>
    <t xml:space="preserve">https://a.co/d/0cnfUvY7</t>
  </si>
  <si>
    <t xml:space="preserve">Heat-set insert</t>
  </si>
  <si>
    <t xml:space="preserve">M2, brass</t>
  </si>
  <si>
    <t xml:space="preserve">https://a.co/d/0iY2ZUL0</t>
  </si>
  <si>
    <t xml:space="preserve">Matrix PCB</t>
  </si>
  <si>
    <t xml:space="preserve">Hot-swap socket</t>
  </si>
  <si>
    <t xml:space="preserve">https://a.co/d/0cJAZBIr</t>
  </si>
  <si>
    <t xml:space="preserve">Key switch</t>
  </si>
  <si>
    <t xml:space="preserve">Kailh Choc V1/V2, Gateron KS-33</t>
  </si>
  <si>
    <t xml:space="preserve">https://a.co/d/02MneUm9</t>
  </si>
  <si>
    <t xml:space="preserve">Magnet</t>
  </si>
  <si>
    <t xml:space="preserve">4x2 round</t>
  </si>
  <si>
    <t xml:space="preserve">https://a.co/d/0dVizHYI</t>
  </si>
  <si>
    <t xml:space="preserve">Screw</t>
  </si>
  <si>
    <t xml:space="preserve">M2, countersink, 6mm</t>
  </si>
  <si>
    <t xml:space="preserve">https://a.co/d/006UHDss</t>
  </si>
  <si>
    <t xml:space="preserve">M2, round, 4mm</t>
  </si>
  <si>
    <t xml:space="preserve">https://a.co/d/0bMJlYoN</t>
  </si>
  <si>
    <t xml:space="preserve">Trackball</t>
  </si>
  <si>
    <t xml:space="preserve">34-35 mm </t>
  </si>
  <si>
    <t xml:space="preserve">https://a.co/d/06izoJGP</t>
  </si>
  <si>
    <t xml:space="preserve">Bottom Plate</t>
  </si>
  <si>
    <t xml:space="preserve">SLS Nylon</t>
  </si>
  <si>
    <t xml:space="preserve">CraftCloud</t>
  </si>
  <si>
    <t xml:space="preserve">Hinge</t>
  </si>
  <si>
    <t xml:space="preserve">SLM 316 stainless steel</t>
  </si>
  <si>
    <t xml:space="preserve">Set of 4 leaves, unit cost for 20</t>
  </si>
  <si>
    <t xml:space="preserve">Left Case</t>
  </si>
  <si>
    <t xml:space="preserve">Right Case</t>
  </si>
  <si>
    <t xml:space="preserve">PCB</t>
  </si>
  <si>
    <t xml:space="preserve">VIK Magnetic Connector, pair</t>
  </si>
  <si>
    <t xml:space="preserve">JLCPCB</t>
  </si>
  <si>
    <t xml:space="preserve">Control PCB</t>
  </si>
  <si>
    <t xml:space="preserve">Control, pair</t>
  </si>
  <si>
    <t xml:space="preserve">Matrix, pair</t>
  </si>
  <si>
    <t xml:space="preserve">VIK PMW3610-narrow</t>
  </si>
  <si>
    <t xml:space="preserve">Screen</t>
  </si>
  <si>
    <t xml:space="preserve">VIK nice!nano adapter PCB</t>
  </si>
  <si>
    <t xml:space="preserve">Battery charger</t>
  </si>
  <si>
    <t xml:space="preserve">MCP73832T-2ACI/OT</t>
  </si>
  <si>
    <t xml:space="preserve">C38066</t>
  </si>
  <si>
    <t xml:space="preserve">Mouser</t>
  </si>
  <si>
    <t xml:space="preserve">https://mou.sr/44sG7IC</t>
  </si>
  <si>
    <t xml:space="preserve">Button Switch</t>
  </si>
  <si>
    <t xml:space="preserve">TS02-66-43-BK-160-LCR-D</t>
  </si>
  <si>
    <t xml:space="preserve">C2837069</t>
  </si>
  <si>
    <t xml:space="preserve">https://mou.sr/4fb3yuO</t>
  </si>
  <si>
    <t xml:space="preserve">Capacitor</t>
  </si>
  <si>
    <t xml:space="preserve">4.7uF, 0805</t>
  </si>
  <si>
    <t xml:space="preserve">https://mou.sr/4vZz72b</t>
  </si>
  <si>
    <t xml:space="preserve">0.1uF X7R, 0805</t>
  </si>
  <si>
    <t xml:space="preserve">https://mou.sr/44s4hD5</t>
  </si>
  <si>
    <t xml:space="preserve">10nF X7R, 0805</t>
  </si>
  <si>
    <t xml:space="preserve">https://mou.sr/4yvB8EW</t>
  </si>
  <si>
    <t xml:space="preserve">10uF X7R, 0805</t>
  </si>
  <si>
    <t xml:space="preserve">https://mou.sr/3VQvLxN</t>
  </si>
  <si>
    <t xml:space="preserve">1uF, 0805</t>
  </si>
  <si>
    <t xml:space="preserve">C15849</t>
  </si>
  <si>
    <t xml:space="preserve">https://mou.sr/4pgOYH0</t>
  </si>
  <si>
    <t xml:space="preserve">3.3uF (4.7uF?), 0805</t>
  </si>
  <si>
    <t xml:space="preserve">C51412</t>
  </si>
  <si>
    <t xml:space="preserve">https://mou.sr/4w8U8ao</t>
  </si>
  <si>
    <t xml:space="preserve">Clock pin</t>
  </si>
  <si>
    <t xml:space="preserve">5/0</t>
  </si>
  <si>
    <t xml:space="preserve">McMaster</t>
  </si>
  <si>
    <t xml:space="preserve">https://www.mcmaster.com/98390A040/</t>
  </si>
  <si>
    <t xml:space="preserve">1:48 taper</t>
  </si>
  <si>
    <t xml:space="preserve">Diode</t>
  </si>
  <si>
    <t xml:space="preserve">1N4148, 0805</t>
  </si>
  <si>
    <t xml:space="preserve">ESD Protection Diode Array</t>
  </si>
  <si>
    <t xml:space="preserve">CLAMP0504DT/RCLAMP0504FBTCT</t>
  </si>
  <si>
    <t xml:space="preserve">C2688137</t>
  </si>
  <si>
    <t xml:space="preserve">https://mou.sr/4vZcLxN</t>
  </si>
  <si>
    <t xml:space="preserve">Ferrite Bead</t>
  </si>
  <si>
    <t xml:space="preserve">SMD0805-050-16V</t>
  </si>
  <si>
    <t xml:space="preserve">C21286</t>
  </si>
  <si>
    <t xml:space="preserve">https://mou.sr/4pp1IeD</t>
  </si>
  <si>
    <t xml:space="preserve">FPC cable</t>
  </si>
  <si>
    <t xml:space="preserve">Type A, 0.5mm pitch, 12-pin, [Length]</t>
  </si>
  <si>
    <t xml:space="preserve">FPC Connector</t>
  </si>
  <si>
    <t xml:space="preserve">FPC connector</t>
  </si>
  <si>
    <t xml:space="preserve">mini</t>
  </si>
  <si>
    <t xml:space="preserve">C5213732</t>
  </si>
  <si>
    <t xml:space="preserve">Fuse</t>
  </si>
  <si>
    <t xml:space="preserve">I/O Expander</t>
  </si>
  <si>
    <t xml:space="preserve">MCP23017-SS</t>
  </si>
  <si>
    <t xml:space="preserve">JST-GH Connector</t>
  </si>
  <si>
    <t xml:space="preserve">2 pin</t>
  </si>
  <si>
    <t xml:space="preserve">Battery connector</t>
  </si>
  <si>
    <t xml:space="preserve">4 pin</t>
  </si>
  <si>
    <t xml:space="preserve">SWD connector</t>
  </si>
  <si>
    <t xml:space="preserve">LED ARGB</t>
  </si>
  <si>
    <t xml:space="preserve">APFA3010SEKJ3ZGKQBKC</t>
  </si>
  <si>
    <t xml:space="preserve">https://mou.sr/4vIN2c1</t>
  </si>
  <si>
    <t xml:space="preserve">MCU module</t>
  </si>
  <si>
    <t xml:space="preserve">Holyiot 18010</t>
  </si>
  <si>
    <t xml:space="preserve">https://mou.sr/4pa7teo</t>
  </si>
  <si>
    <t xml:space="preserve">MOSFET</t>
  </si>
  <si>
    <t xml:space="preserve">AO3401A</t>
  </si>
  <si>
    <t xml:space="preserve">Resistor</t>
  </si>
  <si>
    <t xml:space="preserve">100kohm, 0805</t>
  </si>
  <si>
    <t xml:space="preserve">2kohm, 0805</t>
  </si>
  <si>
    <t xml:space="preserve">2Mohm, 0805</t>
  </si>
  <si>
    <t xml:space="preserve">8.2kohm, 0805</t>
  </si>
  <si>
    <t xml:space="preserve">820kohm, 0805</t>
  </si>
  <si>
    <t xml:space="preserve">10kohm, 0805</t>
  </si>
  <si>
    <t xml:space="preserve">270ohm, 0805</t>
  </si>
  <si>
    <t xml:space="preserve">330ohm, 0805</t>
  </si>
  <si>
    <t xml:space="preserve">470ohm, 0805</t>
  </si>
  <si>
    <t xml:space="preserve">5.1kohm, 0805</t>
  </si>
  <si>
    <t xml:space="preserve">C2930148</t>
  </si>
  <si>
    <t xml:space="preserve">Schottky diode</t>
  </si>
  <si>
    <t xml:space="preserve">1N5819WS</t>
  </si>
  <si>
    <t xml:space="preserve">USB-C receptacle</t>
  </si>
  <si>
    <t xml:space="preserve">HRO_TYPE-C-31-M-12</t>
  </si>
  <si>
    <t xml:space="preserve">Voltage Regulator</t>
  </si>
  <si>
    <t xml:space="preserve">TLV75733PDYDR </t>
  </si>
  <si>
    <t xml:space="preserve">C22399950</t>
  </si>
  <si>
    <t xml:space="preserve">TCR2EF19</t>
  </si>
  <si>
    <t xml:space="preserve">C146366</t>
  </si>
  <si>
    <t xml:space="preserve">1.8V 200mA output</t>
  </si>
  <si>
    <t xml:space="preserve">Switch Plate</t>
  </si>
  <si>
    <t xml:space="preserve">Acrylic</t>
  </si>
  <si>
    <t xml:space="preserve">SendCutSend</t>
  </si>
  <si>
    <t xml:space="preserve">nice!view</t>
  </si>
  <si>
    <t xml:space="preserve">Typeractive</t>
  </si>
  <si>
    <t xml:space="preserve">https://typeractive.xyz/products/nice-view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</si>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</sst>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\$#,##0.00_);[RED]&quot;($&quot;#,##0.00\)"/>
  </numFmts>
  <fonts count="8">
    <font>
      <sz val="11"/>
      <color theme="1"/>
      <name val="Fira Code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Fira Code"/>
      <family val="2"/>
      <charset val="1"/>
    </font>
    <font>
      <u val="single"/>
      <sz val="11"/>
      <color rgb="FF0000FF"/>
      <name val="Fira Code"/>
      <family val="2"/>
      <charset val="1"/>
    </font>
    <font>
      <u val="single"/>
      <sz val="11"/>
      <color theme="10"/>
      <name val="Fira Code"/>
      <family val="2"/>
      <charset val="1"/>
    </font>
    <font>
      <sz val="11"/>
      <color rgb="FF0000FF"/>
      <name val="Fira Code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K65" headerRowCount="1" totalsRowCount="1" totalsRowShown="1">
  <autoFilter ref="A1:K65"/>
  <tableColumns count="11">
    <tableColumn id="1" name="Subassembly"/>
    <tableColumn id="2" name="Category"/>
    <tableColumn id="3" name="Part"/>
    <tableColumn id="4" name="Specifications"/>
    <tableColumn id="5" name="Quantity" totalsRowFunction="sum"/>
    <tableColumn id="6" name="Unit Cost"/>
    <tableColumn id="7" name="Total Cost" totalsRowFunction="sum"/>
    <tableColumn id="8" name="LCSC"/>
    <tableColumn id="9" name="Source"/>
    <tableColumn id="10" name="Link"/>
    <tableColumn id="11" name="Notes" totalsRowFunction="coun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3dkeycap.com/products/mx-chicago-steno-keycap-set?variant=46916802117890" TargetMode="External"/><Relationship Id="rId2" Type="http://schemas.openxmlformats.org/officeDocument/2006/relationships/hyperlink" Target="https://www.alibaba.com/product-detail/Fool-proof-Customizable-2-12-Pin_1601813292668.html" TargetMode="External"/><Relationship Id="rId3" Type="http://schemas.openxmlformats.org/officeDocument/2006/relationships/hyperlink" Target="https://www.alibaba.com/product-detail/VEICHU-VCN310-311-New-Stainless-Steel_1601020185379.html" TargetMode="External"/><Relationship Id="rId4" Type="http://schemas.openxmlformats.org/officeDocument/2006/relationships/hyperlink" Target="https://www.aliexpress.us/item/3256806932453023.html" TargetMode="External"/><Relationship Id="rId5" Type="http://schemas.openxmlformats.org/officeDocument/2006/relationships/hyperlink" Target="https://a.co/d/0cnfUvY7" TargetMode="External"/><Relationship Id="rId6" Type="http://schemas.openxmlformats.org/officeDocument/2006/relationships/hyperlink" Target="https://a.co/d/0iY2ZUL0" TargetMode="External"/><Relationship Id="rId7" Type="http://schemas.openxmlformats.org/officeDocument/2006/relationships/hyperlink" Target="https://a.co/d/0cJAZBIr" TargetMode="External"/><Relationship Id="rId8" Type="http://schemas.openxmlformats.org/officeDocument/2006/relationships/hyperlink" Target="https://a.co/d/02MneUm9" TargetMode="External"/><Relationship Id="rId9" Type="http://schemas.openxmlformats.org/officeDocument/2006/relationships/hyperlink" Target="https://a.co/d/0dVizHYI" TargetMode="External"/><Relationship Id="rId10" Type="http://schemas.openxmlformats.org/officeDocument/2006/relationships/hyperlink" Target="https://a.co/d/0iY2ZUL0" TargetMode="External"/><Relationship Id="rId11" Type="http://schemas.openxmlformats.org/officeDocument/2006/relationships/hyperlink" Target="https://a.co/d/0iY2ZUL0" TargetMode="External"/><Relationship Id="rId12" Type="http://schemas.openxmlformats.org/officeDocument/2006/relationships/hyperlink" Target="https://a.co/d/06izoJGP" TargetMode="External"/><Relationship Id="rId13" Type="http://schemas.openxmlformats.org/officeDocument/2006/relationships/hyperlink" Target="https://mou.sr/4vIN2c1" TargetMode="External"/><Relationship Id="rId14" Type="http://schemas.openxmlformats.org/officeDocument/2006/relationships/hyperlink" Target="https://mou.sr/4vIN2c1" TargetMode="External"/><Relationship Id="rId15" Type="http://schemas.openxmlformats.org/officeDocument/2006/relationships/hyperlink" Target="https://mou.sr/4vIN2c1" TargetMode="External"/><Relationship Id="rId16" Type="http://schemas.openxmlformats.org/officeDocument/2006/relationships/hyperlink" Target="https://mou.sr/4vIN2c1" TargetMode="External"/><Relationship Id="rId17" Type="http://schemas.openxmlformats.org/officeDocument/2006/relationships/hyperlink" Target="https://mou.sr/4vIN2c1" TargetMode="External"/><Relationship Id="rId18" Type="http://schemas.openxmlformats.org/officeDocument/2006/relationships/hyperlink" Target="https://mou.sr/4vIN2c1" TargetMode="External"/><Relationship Id="rId19" Type="http://schemas.openxmlformats.org/officeDocument/2006/relationships/hyperlink" Target="https://mou.sr/4vIN2c1" TargetMode="External"/><Relationship Id="rId20" Type="http://schemas.openxmlformats.org/officeDocument/2006/relationships/hyperlink" Target="https://mou.sr/4vIN2c1" TargetMode="External"/><Relationship Id="rId21" Type="http://schemas.openxmlformats.org/officeDocument/2006/relationships/hyperlink" Target="https://www.mcmaster.com/98390A040/" TargetMode="External"/><Relationship Id="rId22" Type="http://schemas.openxmlformats.org/officeDocument/2006/relationships/hyperlink" Target="https://mou.sr/4vZcLxN" TargetMode="External"/><Relationship Id="rId23" Type="http://schemas.openxmlformats.org/officeDocument/2006/relationships/hyperlink" Target="https://mou.sr/4pp1IeD" TargetMode="External"/><Relationship Id="rId24" Type="http://schemas.openxmlformats.org/officeDocument/2006/relationships/hyperlink" Target="https://mou.sr/4vIN2c1" TargetMode="External"/><Relationship Id="rId25" Type="http://schemas.openxmlformats.org/officeDocument/2006/relationships/hyperlink" Target="https://mou.sr/4pa7teo" TargetMode="External"/><Relationship Id="rId26" Type="http://schemas.openxmlformats.org/officeDocument/2006/relationships/hyperlink" Target="https://typeractive.xyz/products/nice-view" TargetMode="External"/><Relationship Id="rId27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C7" colorId="64" zoomScale="110" zoomScaleNormal="110" zoomScalePageLayoutView="100" workbookViewId="0">
      <selection pane="topLeft" activeCell="D30" activeCellId="0" sqref="D30"/>
    </sheetView>
  </sheetViews>
  <sheetFormatPr defaultColWidth="8.55859375" defaultRowHeight="15.75" customHeight="false" zeroHeight="false" outlineLevelRow="0" outlineLevelCol="0"/>
  <cols>
    <col collapsed="false" customWidth="true" hidden="false" outlineLevel="0" max="1" min="1" style="0" width="14.11"/>
    <col collapsed="false" customWidth="true" hidden="false" outlineLevel="0" max="2" min="2" style="0" width="11"/>
    <col collapsed="false" customWidth="true" hidden="false" outlineLevel="0" max="3" min="3" style="0" width="30.56"/>
    <col collapsed="false" customWidth="true" hidden="false" outlineLevel="0" max="4" min="4" style="0" width="38.78"/>
    <col collapsed="false" customWidth="true" hidden="false" outlineLevel="0" max="5" min="5" style="0" width="10.78"/>
    <col collapsed="false" customWidth="true" hidden="false" outlineLevel="0" max="6" min="6" style="0" width="11.78"/>
    <col collapsed="false" customWidth="true" hidden="false" outlineLevel="0" max="7" min="7" style="0" width="12.78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26.56"/>
    <col collapsed="false" customWidth="true" hidden="false" outlineLevel="0" max="11" min="11" style="0" width="54.22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/>
      <c r="B2" s="1" t="s">
        <v>11</v>
      </c>
      <c r="C2" s="1" t="s">
        <v>12</v>
      </c>
      <c r="D2" s="1"/>
      <c r="E2" s="1" t="n">
        <v>44</v>
      </c>
      <c r="F2" s="2" t="n">
        <v>2.64</v>
      </c>
      <c r="G2" s="3" t="n">
        <f aca="false">Table1[[#This Row],[Quantity]]*Table1[[#This Row],[Unit Cost]]</f>
        <v>116.16</v>
      </c>
      <c r="H2" s="1"/>
      <c r="I2" s="1" t="s">
        <v>13</v>
      </c>
      <c r="J2" s="4" t="s">
        <v>14</v>
      </c>
      <c r="K2" s="1" t="s">
        <v>15</v>
      </c>
    </row>
    <row r="3" customFormat="false" ht="15.75" hidden="false" customHeight="false" outlineLevel="0" collapsed="false">
      <c r="A3" s="1" t="s">
        <v>16</v>
      </c>
      <c r="B3" s="1" t="s">
        <v>17</v>
      </c>
      <c r="C3" s="1" t="s">
        <v>18</v>
      </c>
      <c r="D3" s="1" t="s">
        <v>19</v>
      </c>
      <c r="E3" s="1" t="n">
        <v>1</v>
      </c>
      <c r="F3" s="2" t="n">
        <v>3.52</v>
      </c>
      <c r="G3" s="3" t="n">
        <f aca="false">Table1[[#This Row],[Quantity]]*Table1[[#This Row],[Unit Cost]]</f>
        <v>3.52</v>
      </c>
      <c r="H3" s="1"/>
      <c r="I3" s="1" t="s">
        <v>20</v>
      </c>
      <c r="J3" s="4" t="s">
        <v>21</v>
      </c>
      <c r="K3" s="1"/>
    </row>
    <row r="4" customFormat="false" ht="15.75" hidden="false" customHeight="false" outlineLevel="0" collapsed="false">
      <c r="A4" s="1"/>
      <c r="B4" s="1" t="s">
        <v>22</v>
      </c>
      <c r="C4" s="1" t="s">
        <v>23</v>
      </c>
      <c r="D4" s="1"/>
      <c r="E4" s="1" t="n">
        <v>4</v>
      </c>
      <c r="F4" s="2" t="n">
        <v>1.21</v>
      </c>
      <c r="G4" s="3" t="n">
        <f aca="false">Table1[[#This Row],[Quantity]]*Table1[[#This Row],[Unit Cost]]</f>
        <v>4.84</v>
      </c>
      <c r="H4" s="1"/>
      <c r="I4" s="1" t="s">
        <v>20</v>
      </c>
      <c r="J4" s="4" t="s">
        <v>24</v>
      </c>
      <c r="K4" s="1"/>
    </row>
    <row r="5" customFormat="false" ht="15.75" hidden="false" customHeight="false" outlineLevel="0" collapsed="false">
      <c r="A5" s="1" t="s">
        <v>25</v>
      </c>
      <c r="B5" s="1" t="s">
        <v>17</v>
      </c>
      <c r="C5" s="1" t="s">
        <v>26</v>
      </c>
      <c r="D5" s="1" t="s">
        <v>27</v>
      </c>
      <c r="E5" s="1" t="n">
        <v>2</v>
      </c>
      <c r="F5" s="2" t="n">
        <v>5.9</v>
      </c>
      <c r="G5" s="3" t="n">
        <f aca="false">Table1[[#This Row],[Quantity]]*Table1[[#This Row],[Unit Cost]]</f>
        <v>11.8</v>
      </c>
      <c r="H5" s="1"/>
      <c r="I5" s="1" t="s">
        <v>28</v>
      </c>
      <c r="J5" s="4" t="s">
        <v>29</v>
      </c>
      <c r="K5" s="1"/>
    </row>
    <row r="6" customFormat="false" ht="15.75" hidden="false" customHeight="false" outlineLevel="0" collapsed="false">
      <c r="A6" s="1"/>
      <c r="B6" s="1" t="s">
        <v>17</v>
      </c>
      <c r="C6" s="1" t="s">
        <v>30</v>
      </c>
      <c r="D6" s="1" t="s">
        <v>31</v>
      </c>
      <c r="E6" s="1" t="n">
        <v>1</v>
      </c>
      <c r="F6" s="2" t="n">
        <v>7.99</v>
      </c>
      <c r="G6" s="3" t="n">
        <f aca="false">Table1[[#This Row],[Quantity]]*Table1[[#This Row],[Unit Cost]]</f>
        <v>7.99</v>
      </c>
      <c r="H6" s="1"/>
      <c r="I6" s="1" t="s">
        <v>32</v>
      </c>
      <c r="J6" s="4" t="s">
        <v>33</v>
      </c>
      <c r="K6" s="1"/>
    </row>
    <row r="7" customFormat="false" ht="15.75" hidden="false" customHeight="false" outlineLevel="0" collapsed="false">
      <c r="A7" s="1"/>
      <c r="B7" s="1" t="s">
        <v>22</v>
      </c>
      <c r="C7" s="1" t="s">
        <v>34</v>
      </c>
      <c r="D7" s="1" t="s">
        <v>35</v>
      </c>
      <c r="E7" s="1" t="n">
        <v>32</v>
      </c>
      <c r="F7" s="2" t="n">
        <v>0.04</v>
      </c>
      <c r="G7" s="3" t="n">
        <f aca="false">Table1[[#This Row],[Quantity]]*Table1[[#This Row],[Unit Cost]]</f>
        <v>1.28</v>
      </c>
      <c r="H7" s="1"/>
      <c r="I7" s="1" t="s">
        <v>32</v>
      </c>
      <c r="J7" s="5" t="s">
        <v>36</v>
      </c>
      <c r="K7" s="1"/>
    </row>
    <row r="8" customFormat="false" ht="15.75" hidden="false" customHeight="false" outlineLevel="0" collapsed="false">
      <c r="A8" s="1" t="s">
        <v>37</v>
      </c>
      <c r="B8" s="1" t="s">
        <v>17</v>
      </c>
      <c r="C8" s="1" t="s">
        <v>38</v>
      </c>
      <c r="D8" s="1"/>
      <c r="E8" s="1" t="n">
        <v>44</v>
      </c>
      <c r="F8" s="2" t="n">
        <v>0.14</v>
      </c>
      <c r="G8" s="3" t="n">
        <f aca="false">Table1[[#This Row],[Quantity]]*Table1[[#This Row],[Unit Cost]]</f>
        <v>6.16</v>
      </c>
      <c r="H8" s="1"/>
      <c r="I8" s="1" t="s">
        <v>32</v>
      </c>
      <c r="J8" s="4" t="s">
        <v>39</v>
      </c>
      <c r="K8" s="1"/>
    </row>
    <row r="9" customFormat="false" ht="15.75" hidden="false" customHeight="false" outlineLevel="0" collapsed="false">
      <c r="A9" s="1"/>
      <c r="B9" s="1" t="s">
        <v>17</v>
      </c>
      <c r="C9" s="1" t="s">
        <v>40</v>
      </c>
      <c r="D9" s="1" t="s">
        <v>41</v>
      </c>
      <c r="E9" s="1" t="n">
        <v>44</v>
      </c>
      <c r="F9" s="2" t="n">
        <v>0.39</v>
      </c>
      <c r="G9" s="3" t="n">
        <f aca="false">Table1[[#This Row],[Quantity]]*Table1[[#This Row],[Unit Cost]]</f>
        <v>17.16</v>
      </c>
      <c r="H9" s="1"/>
      <c r="I9" s="1" t="s">
        <v>32</v>
      </c>
      <c r="J9" s="4" t="s">
        <v>42</v>
      </c>
      <c r="K9" s="1"/>
    </row>
    <row r="10" customFormat="false" ht="15.75" hidden="false" customHeight="false" outlineLevel="0" collapsed="false">
      <c r="A10" s="1"/>
      <c r="B10" s="1" t="s">
        <v>22</v>
      </c>
      <c r="C10" s="1" t="s">
        <v>43</v>
      </c>
      <c r="D10" s="1" t="s">
        <v>44</v>
      </c>
      <c r="E10" s="1" t="n">
        <v>4</v>
      </c>
      <c r="F10" s="2" t="n">
        <v>0.03</v>
      </c>
      <c r="G10" s="3" t="n">
        <f aca="false">Table1[[#This Row],[Quantity]]*Table1[[#This Row],[Unit Cost]]</f>
        <v>0.12</v>
      </c>
      <c r="H10" s="1"/>
      <c r="I10" s="1" t="s">
        <v>32</v>
      </c>
      <c r="J10" s="5" t="s">
        <v>45</v>
      </c>
      <c r="K10" s="1"/>
    </row>
    <row r="11" customFormat="false" ht="15.75" hidden="false" customHeight="false" outlineLevel="0" collapsed="false">
      <c r="A11" s="1"/>
      <c r="B11" s="1" t="s">
        <v>22</v>
      </c>
      <c r="C11" s="1" t="s">
        <v>46</v>
      </c>
      <c r="D11" s="1" t="s">
        <v>47</v>
      </c>
      <c r="E11" s="1" t="n">
        <v>26</v>
      </c>
      <c r="F11" s="2" t="n">
        <v>0.07</v>
      </c>
      <c r="G11" s="3" t="n">
        <f aca="false">Table1[[#This Row],[Quantity]]*Table1[[#This Row],[Unit Cost]]</f>
        <v>1.82</v>
      </c>
      <c r="H11" s="1"/>
      <c r="I11" s="1" t="s">
        <v>32</v>
      </c>
      <c r="J11" s="5" t="s">
        <v>48</v>
      </c>
      <c r="K11" s="1"/>
    </row>
    <row r="12" customFormat="false" ht="15.75" hidden="false" customHeight="false" outlineLevel="0" collapsed="false">
      <c r="A12" s="1"/>
      <c r="B12" s="1" t="s">
        <v>22</v>
      </c>
      <c r="C12" s="1" t="s">
        <v>46</v>
      </c>
      <c r="D12" s="1" t="s">
        <v>49</v>
      </c>
      <c r="E12" s="1" t="n">
        <v>6</v>
      </c>
      <c r="F12" s="2" t="n">
        <v>0.08</v>
      </c>
      <c r="G12" s="3" t="n">
        <f aca="false">Table1[[#This Row],[Quantity]]*Table1[[#This Row],[Unit Cost]]</f>
        <v>0.48</v>
      </c>
      <c r="H12" s="1"/>
      <c r="I12" s="1" t="s">
        <v>32</v>
      </c>
      <c r="J12" s="5" t="s">
        <v>50</v>
      </c>
      <c r="K12" s="1"/>
    </row>
    <row r="13" customFormat="false" ht="15.75" hidden="false" customHeight="false" outlineLevel="0" collapsed="false">
      <c r="A13" s="1"/>
      <c r="B13" s="1" t="s">
        <v>11</v>
      </c>
      <c r="C13" s="1" t="s">
        <v>51</v>
      </c>
      <c r="D13" s="1" t="s">
        <v>52</v>
      </c>
      <c r="E13" s="1" t="n">
        <v>1</v>
      </c>
      <c r="F13" s="2" t="n">
        <v>11.99</v>
      </c>
      <c r="G13" s="3" t="n">
        <f aca="false">Table1[[#This Row],[Quantity]]*Table1[[#This Row],[Unit Cost]]</f>
        <v>11.99</v>
      </c>
      <c r="H13" s="1"/>
      <c r="I13" s="1" t="s">
        <v>32</v>
      </c>
      <c r="J13" s="4" t="s">
        <v>53</v>
      </c>
      <c r="K13" s="1"/>
    </row>
    <row r="14" customFormat="false" ht="15.75" hidden="false" customHeight="false" outlineLevel="0" collapsed="false">
      <c r="A14" s="1"/>
      <c r="B14" s="1" t="s">
        <v>22</v>
      </c>
      <c r="C14" s="1" t="s">
        <v>54</v>
      </c>
      <c r="D14" s="1" t="s">
        <v>55</v>
      </c>
      <c r="E14" s="1" t="n">
        <v>2</v>
      </c>
      <c r="F14" s="2" t="n">
        <v>7.42</v>
      </c>
      <c r="G14" s="3" t="n">
        <f aca="false">Table1[[#This Row],[Quantity]]*Table1[[#This Row],[Unit Cost]]</f>
        <v>14.84</v>
      </c>
      <c r="H14" s="1"/>
      <c r="I14" s="1" t="s">
        <v>56</v>
      </c>
      <c r="J14" s="1"/>
      <c r="K14" s="1"/>
    </row>
    <row r="15" customFormat="false" ht="15.75" hidden="false" customHeight="false" outlineLevel="0" collapsed="false">
      <c r="A15" s="1" t="s">
        <v>57</v>
      </c>
      <c r="B15" s="1" t="s">
        <v>22</v>
      </c>
      <c r="C15" s="1" t="s">
        <v>57</v>
      </c>
      <c r="D15" s="1" t="s">
        <v>58</v>
      </c>
      <c r="E15" s="1" t="n">
        <v>2</v>
      </c>
      <c r="F15" s="2" t="n">
        <v>4.56</v>
      </c>
      <c r="G15" s="3" t="n">
        <f aca="false">Table1[[#This Row],[Quantity]]*Table1[[#This Row],[Unit Cost]]</f>
        <v>9.12</v>
      </c>
      <c r="H15" s="1"/>
      <c r="I15" s="1" t="s">
        <v>56</v>
      </c>
      <c r="J15" s="1"/>
      <c r="K15" s="1" t="s">
        <v>59</v>
      </c>
    </row>
    <row r="16" customFormat="false" ht="15.75" hidden="false" customHeight="false" outlineLevel="0" collapsed="false">
      <c r="A16" s="1"/>
      <c r="B16" s="1" t="s">
        <v>22</v>
      </c>
      <c r="C16" s="1" t="s">
        <v>60</v>
      </c>
      <c r="D16" s="1" t="s">
        <v>55</v>
      </c>
      <c r="E16" s="1" t="n">
        <v>1</v>
      </c>
      <c r="F16" s="2" t="n">
        <v>21.24</v>
      </c>
      <c r="G16" s="3" t="n">
        <f aca="false">Table1[[#This Row],[Quantity]]*Table1[[#This Row],[Unit Cost]]</f>
        <v>21.24</v>
      </c>
      <c r="H16" s="1"/>
      <c r="I16" s="1" t="s">
        <v>56</v>
      </c>
      <c r="J16" s="1"/>
      <c r="K16" s="1"/>
    </row>
    <row r="17" customFormat="false" ht="15.75" hidden="false" customHeight="false" outlineLevel="0" collapsed="false">
      <c r="A17" s="1"/>
      <c r="B17" s="1" t="s">
        <v>22</v>
      </c>
      <c r="C17" s="1" t="s">
        <v>61</v>
      </c>
      <c r="D17" s="1" t="s">
        <v>55</v>
      </c>
      <c r="E17" s="1" t="n">
        <v>1</v>
      </c>
      <c r="F17" s="2" t="n">
        <v>21.24</v>
      </c>
      <c r="G17" s="3" t="n">
        <f aca="false">Table1[[#This Row],[Quantity]]*Table1[[#This Row],[Unit Cost]]</f>
        <v>21.24</v>
      </c>
      <c r="H17" s="1"/>
      <c r="I17" s="1" t="s">
        <v>56</v>
      </c>
      <c r="J17" s="1"/>
      <c r="K17" s="1"/>
    </row>
    <row r="18" customFormat="false" ht="15.75" hidden="false" customHeight="false" outlineLevel="0" collapsed="false">
      <c r="A18" s="1" t="s">
        <v>16</v>
      </c>
      <c r="B18" s="1" t="s">
        <v>17</v>
      </c>
      <c r="C18" s="1" t="s">
        <v>62</v>
      </c>
      <c r="D18" s="1" t="s">
        <v>63</v>
      </c>
      <c r="E18" s="1" t="n">
        <v>2</v>
      </c>
      <c r="F18" s="2" t="n">
        <v>1.97</v>
      </c>
      <c r="G18" s="3" t="n">
        <f aca="false">Table1[[#This Row],[Quantity]]*Table1[[#This Row],[Unit Cost]]</f>
        <v>3.94</v>
      </c>
      <c r="H18" s="1"/>
      <c r="I18" s="1" t="s">
        <v>64</v>
      </c>
      <c r="J18" s="1"/>
      <c r="K18" s="1"/>
    </row>
    <row r="19" customFormat="false" ht="15.75" hidden="false" customHeight="false" outlineLevel="0" collapsed="false">
      <c r="A19" s="1" t="s">
        <v>65</v>
      </c>
      <c r="B19" s="1" t="s">
        <v>17</v>
      </c>
      <c r="C19" s="1" t="s">
        <v>62</v>
      </c>
      <c r="D19" s="1" t="s">
        <v>66</v>
      </c>
      <c r="E19" s="1" t="n">
        <v>1</v>
      </c>
      <c r="F19" s="2" t="n">
        <v>5.45</v>
      </c>
      <c r="G19" s="3" t="n">
        <f aca="false">Table1[[#This Row],[Quantity]]*Table1[[#This Row],[Unit Cost]]</f>
        <v>5.45</v>
      </c>
      <c r="H19" s="1"/>
      <c r="I19" s="1" t="s">
        <v>64</v>
      </c>
      <c r="J19" s="1"/>
      <c r="K19" s="1"/>
    </row>
    <row r="20" customFormat="false" ht="15.75" hidden="false" customHeight="false" outlineLevel="0" collapsed="false">
      <c r="A20" s="1" t="s">
        <v>37</v>
      </c>
      <c r="B20" s="1" t="s">
        <v>17</v>
      </c>
      <c r="C20" s="1" t="s">
        <v>62</v>
      </c>
      <c r="D20" s="1" t="s">
        <v>67</v>
      </c>
      <c r="E20" s="1" t="n">
        <v>1</v>
      </c>
      <c r="F20" s="2" t="n">
        <v>5.13</v>
      </c>
      <c r="G20" s="3" t="n">
        <f aca="false">Table1[[#This Row],[Quantity]]*Table1[[#This Row],[Unit Cost]]</f>
        <v>5.13</v>
      </c>
      <c r="H20" s="1"/>
      <c r="I20" s="1" t="s">
        <v>64</v>
      </c>
      <c r="J20" s="1"/>
      <c r="K20" s="1"/>
    </row>
    <row r="21" customFormat="false" ht="15.75" hidden="false" customHeight="false" outlineLevel="0" collapsed="false">
      <c r="A21" s="1" t="s">
        <v>25</v>
      </c>
      <c r="B21" s="1" t="s">
        <v>17</v>
      </c>
      <c r="C21" s="1" t="s">
        <v>62</v>
      </c>
      <c r="D21" s="1" t="s">
        <v>68</v>
      </c>
      <c r="E21" s="1" t="n">
        <v>2</v>
      </c>
      <c r="F21" s="2" t="n">
        <v>0.63</v>
      </c>
      <c r="G21" s="3" t="n">
        <f aca="false">Table1[[#This Row],[Quantity]]*Table1[[#This Row],[Unit Cost]]</f>
        <v>1.26</v>
      </c>
      <c r="H21" s="1"/>
      <c r="I21" s="1" t="s">
        <v>64</v>
      </c>
      <c r="J21" s="1"/>
      <c r="K21" s="1"/>
    </row>
    <row r="22" customFormat="false" ht="15.75" hidden="false" customHeight="false" outlineLevel="0" collapsed="false">
      <c r="A22" s="1" t="s">
        <v>69</v>
      </c>
      <c r="B22" s="1" t="s">
        <v>17</v>
      </c>
      <c r="C22" s="1" t="s">
        <v>70</v>
      </c>
      <c r="D22" s="1"/>
      <c r="E22" s="1" t="n">
        <v>1</v>
      </c>
      <c r="F22" s="2" t="n">
        <v>0.66</v>
      </c>
      <c r="G22" s="3" t="n">
        <f aca="false">Table1[[#This Row],[Quantity]]*Table1[[#This Row],[Unit Cost]]</f>
        <v>0.66</v>
      </c>
      <c r="H22" s="1"/>
      <c r="I22" s="1" t="s">
        <v>64</v>
      </c>
      <c r="J22" s="1"/>
      <c r="K22" s="1"/>
    </row>
    <row r="23" customFormat="false" ht="15.75" hidden="false" customHeight="false" outlineLevel="0" collapsed="false">
      <c r="A23" s="1" t="s">
        <v>65</v>
      </c>
      <c r="B23" s="1" t="s">
        <v>17</v>
      </c>
      <c r="C23" s="1" t="s">
        <v>71</v>
      </c>
      <c r="D23" s="1" t="s">
        <v>72</v>
      </c>
      <c r="E23" s="1" t="n">
        <v>1</v>
      </c>
      <c r="F23" s="2" t="n">
        <v>0.76</v>
      </c>
      <c r="G23" s="3" t="n">
        <f aca="false">Table1[[#This Row],[Quantity]]*Table1[[#This Row],[Unit Cost]]</f>
        <v>0.76</v>
      </c>
      <c r="H23" s="1" t="s">
        <v>73</v>
      </c>
      <c r="I23" s="1" t="s">
        <v>74</v>
      </c>
      <c r="J23" s="5" t="s">
        <v>75</v>
      </c>
      <c r="K23" s="1"/>
    </row>
    <row r="24" customFormat="false" ht="15.75" hidden="false" customHeight="false" outlineLevel="0" collapsed="false">
      <c r="A24" s="1" t="s">
        <v>37</v>
      </c>
      <c r="B24" s="1" t="s">
        <v>17</v>
      </c>
      <c r="C24" s="1" t="s">
        <v>76</v>
      </c>
      <c r="D24" s="1" t="s">
        <v>77</v>
      </c>
      <c r="E24" s="1" t="n">
        <v>1</v>
      </c>
      <c r="F24" s="2" t="n">
        <v>0.1</v>
      </c>
      <c r="G24" s="3" t="n">
        <f aca="false">Table1[[#This Row],[Quantity]]*Table1[[#This Row],[Unit Cost]]</f>
        <v>0.1</v>
      </c>
      <c r="H24" s="1" t="s">
        <v>78</v>
      </c>
      <c r="I24" s="1" t="s">
        <v>74</v>
      </c>
      <c r="J24" s="5" t="s">
        <v>79</v>
      </c>
      <c r="K24" s="1"/>
    </row>
    <row r="25" customFormat="false" ht="15.75" hidden="false" customHeight="false" outlineLevel="0" collapsed="false">
      <c r="A25" s="1" t="s">
        <v>65</v>
      </c>
      <c r="B25" s="1" t="s">
        <v>17</v>
      </c>
      <c r="C25" s="1" t="s">
        <v>80</v>
      </c>
      <c r="D25" s="1" t="s">
        <v>81</v>
      </c>
      <c r="E25" s="1" t="n">
        <v>2</v>
      </c>
      <c r="F25" s="2" t="n">
        <v>0.41</v>
      </c>
      <c r="G25" s="3" t="n">
        <f aca="false">Table1[[#This Row],[Quantity]]*Table1[[#This Row],[Unit Cost]]</f>
        <v>0.82</v>
      </c>
      <c r="H25" s="1"/>
      <c r="I25" s="1" t="s">
        <v>74</v>
      </c>
      <c r="J25" s="5" t="s">
        <v>82</v>
      </c>
      <c r="K25" s="1"/>
    </row>
    <row r="26" customFormat="false" ht="15.75" hidden="false" customHeight="false" outlineLevel="0" collapsed="false">
      <c r="A26" s="1" t="s">
        <v>25</v>
      </c>
      <c r="B26" s="1" t="s">
        <v>17</v>
      </c>
      <c r="C26" s="1" t="s">
        <v>80</v>
      </c>
      <c r="D26" s="1" t="s">
        <v>83</v>
      </c>
      <c r="E26" s="1" t="n">
        <v>8</v>
      </c>
      <c r="F26" s="2" t="n">
        <v>0.14</v>
      </c>
      <c r="G26" s="3" t="n">
        <f aca="false">Table1[[#This Row],[Quantity]]*Table1[[#This Row],[Unit Cost]]</f>
        <v>1.12</v>
      </c>
      <c r="H26" s="1"/>
      <c r="I26" s="1" t="s">
        <v>74</v>
      </c>
      <c r="J26" s="5" t="s">
        <v>84</v>
      </c>
      <c r="K26" s="1"/>
    </row>
    <row r="27" customFormat="false" ht="15.75" hidden="false" customHeight="false" outlineLevel="0" collapsed="false">
      <c r="A27" s="1" t="s">
        <v>25</v>
      </c>
      <c r="B27" s="1" t="s">
        <v>17</v>
      </c>
      <c r="C27" s="1" t="s">
        <v>80</v>
      </c>
      <c r="D27" s="1" t="s">
        <v>85</v>
      </c>
      <c r="E27" s="1" t="n">
        <v>4</v>
      </c>
      <c r="F27" s="2" t="n">
        <v>0.1</v>
      </c>
      <c r="G27" s="3" t="n">
        <f aca="false">Table1[[#This Row],[Quantity]]*Table1[[#This Row],[Unit Cost]]</f>
        <v>0.4</v>
      </c>
      <c r="H27" s="1"/>
      <c r="I27" s="1" t="s">
        <v>74</v>
      </c>
      <c r="J27" s="5" t="s">
        <v>86</v>
      </c>
      <c r="K27" s="1"/>
    </row>
    <row r="28" customFormat="false" ht="15.75" hidden="false" customHeight="false" outlineLevel="0" collapsed="false">
      <c r="A28" s="1" t="s">
        <v>25</v>
      </c>
      <c r="B28" s="1" t="s">
        <v>17</v>
      </c>
      <c r="C28" s="1" t="s">
        <v>80</v>
      </c>
      <c r="D28" s="1" t="s">
        <v>87</v>
      </c>
      <c r="E28" s="1" t="n">
        <v>2</v>
      </c>
      <c r="F28" s="2" t="n">
        <v>0.25</v>
      </c>
      <c r="G28" s="3" t="n">
        <f aca="false">Table1[[#This Row],[Quantity]]*Table1[[#This Row],[Unit Cost]]</f>
        <v>0.5</v>
      </c>
      <c r="H28" s="1"/>
      <c r="I28" s="1" t="s">
        <v>74</v>
      </c>
      <c r="J28" s="5" t="s">
        <v>88</v>
      </c>
      <c r="K28" s="1"/>
    </row>
    <row r="29" customFormat="false" ht="15.75" hidden="false" customHeight="false" outlineLevel="0" collapsed="false">
      <c r="A29" s="1" t="s">
        <v>25</v>
      </c>
      <c r="B29" s="1" t="s">
        <v>17</v>
      </c>
      <c r="C29" s="1" t="s">
        <v>80</v>
      </c>
      <c r="D29" s="1" t="s">
        <v>89</v>
      </c>
      <c r="E29" s="1" t="n">
        <v>2</v>
      </c>
      <c r="F29" s="2" t="n">
        <v>0.24</v>
      </c>
      <c r="G29" s="3" t="n">
        <f aca="false">Table1[[#This Row],[Quantity]]*Table1[[#This Row],[Unit Cost]]</f>
        <v>0.48</v>
      </c>
      <c r="H29" s="1" t="s">
        <v>90</v>
      </c>
      <c r="I29" s="1" t="s">
        <v>74</v>
      </c>
      <c r="J29" s="5" t="s">
        <v>91</v>
      </c>
      <c r="K29" s="1"/>
    </row>
    <row r="30" customFormat="false" ht="15.75" hidden="false" customHeight="false" outlineLevel="0" collapsed="false">
      <c r="A30" s="1" t="s">
        <v>25</v>
      </c>
      <c r="B30" s="1" t="s">
        <v>17</v>
      </c>
      <c r="C30" s="1" t="s">
        <v>80</v>
      </c>
      <c r="D30" s="1" t="s">
        <v>92</v>
      </c>
      <c r="E30" s="1" t="n">
        <v>2</v>
      </c>
      <c r="F30" s="2" t="n">
        <v>0.22</v>
      </c>
      <c r="G30" s="3" t="n">
        <f aca="false">Table1[[#This Row],[Quantity]]*Table1[[#This Row],[Unit Cost]]</f>
        <v>0.44</v>
      </c>
      <c r="H30" s="1" t="s">
        <v>93</v>
      </c>
      <c r="I30" s="1" t="s">
        <v>74</v>
      </c>
      <c r="J30" s="5" t="s">
        <v>94</v>
      </c>
      <c r="K30" s="1"/>
    </row>
    <row r="31" customFormat="false" ht="15.75" hidden="false" customHeight="false" outlineLevel="0" collapsed="false">
      <c r="A31" s="1" t="s">
        <v>57</v>
      </c>
      <c r="B31" s="1" t="s">
        <v>22</v>
      </c>
      <c r="C31" s="1" t="s">
        <v>95</v>
      </c>
      <c r="D31" s="1" t="s">
        <v>96</v>
      </c>
      <c r="E31" s="1" t="n">
        <v>8</v>
      </c>
      <c r="F31" s="2" t="n">
        <v>0.45</v>
      </c>
      <c r="G31" s="3" t="n">
        <f aca="false">Table1[[#This Row],[Quantity]]*Table1[[#This Row],[Unit Cost]]</f>
        <v>3.6</v>
      </c>
      <c r="H31" s="1"/>
      <c r="I31" s="1" t="s">
        <v>97</v>
      </c>
      <c r="J31" s="5" t="s">
        <v>98</v>
      </c>
      <c r="K31" s="1" t="s">
        <v>99</v>
      </c>
    </row>
    <row r="32" customFormat="false" ht="15.75" hidden="false" customHeight="false" outlineLevel="0" collapsed="false">
      <c r="A32" s="1" t="s">
        <v>37</v>
      </c>
      <c r="B32" s="1" t="s">
        <v>17</v>
      </c>
      <c r="C32" s="1" t="s">
        <v>100</v>
      </c>
      <c r="D32" s="1" t="s">
        <v>101</v>
      </c>
      <c r="E32" s="1" t="n">
        <v>44</v>
      </c>
      <c r="F32" s="2"/>
      <c r="G32" s="3" t="n">
        <f aca="false">Table1[[#This Row],[Quantity]]*Table1[[#This Row],[Unit Cost]]</f>
        <v>0</v>
      </c>
      <c r="H32" s="1"/>
      <c r="I32" s="1" t="s">
        <v>74</v>
      </c>
      <c r="J32" s="1"/>
      <c r="K32" s="1"/>
    </row>
    <row r="33" customFormat="false" ht="15.75" hidden="false" customHeight="false" outlineLevel="0" collapsed="false">
      <c r="A33" s="1" t="s">
        <v>16</v>
      </c>
      <c r="B33" s="1" t="s">
        <v>17</v>
      </c>
      <c r="C33" s="1" t="s">
        <v>102</v>
      </c>
      <c r="D33" s="1" t="s">
        <v>103</v>
      </c>
      <c r="E33" s="1" t="n">
        <v>6</v>
      </c>
      <c r="F33" s="2" t="n">
        <v>0.89</v>
      </c>
      <c r="G33" s="3" t="n">
        <f aca="false">Table1[[#This Row],[Quantity]]*Table1[[#This Row],[Unit Cost]]</f>
        <v>5.34</v>
      </c>
      <c r="H33" s="1" t="s">
        <v>104</v>
      </c>
      <c r="I33" s="1" t="s">
        <v>74</v>
      </c>
      <c r="J33" s="4" t="s">
        <v>105</v>
      </c>
      <c r="K33" s="1"/>
    </row>
    <row r="34" customFormat="false" ht="15.75" hidden="false" customHeight="false" outlineLevel="0" collapsed="false">
      <c r="A34" s="1" t="s">
        <v>16</v>
      </c>
      <c r="B34" s="1" t="s">
        <v>17</v>
      </c>
      <c r="C34" s="1" t="s">
        <v>106</v>
      </c>
      <c r="D34" s="1" t="s">
        <v>107</v>
      </c>
      <c r="E34" s="1" t="n">
        <v>3</v>
      </c>
      <c r="F34" s="2" t="n">
        <v>0.11</v>
      </c>
      <c r="G34" s="3" t="n">
        <f aca="false">Table1[[#This Row],[Quantity]]*Table1[[#This Row],[Unit Cost]]</f>
        <v>0.33</v>
      </c>
      <c r="H34" s="1" t="s">
        <v>108</v>
      </c>
      <c r="I34" s="1" t="s">
        <v>74</v>
      </c>
      <c r="J34" s="4" t="s">
        <v>109</v>
      </c>
      <c r="K34" s="1"/>
    </row>
    <row r="35" customFormat="false" ht="15.75" hidden="false" customHeight="false" outlineLevel="0" collapsed="false">
      <c r="A35" s="1"/>
      <c r="B35" s="1" t="s">
        <v>17</v>
      </c>
      <c r="C35" s="1" t="s">
        <v>110</v>
      </c>
      <c r="D35" s="1" t="s">
        <v>111</v>
      </c>
      <c r="E35" s="1" t="n">
        <v>7</v>
      </c>
      <c r="F35" s="2"/>
      <c r="G35" s="3" t="n">
        <f aca="false">Table1[[#This Row],[Quantity]]*Table1[[#This Row],[Unit Cost]]</f>
        <v>0</v>
      </c>
      <c r="H35" s="1"/>
      <c r="I35" s="1" t="s">
        <v>74</v>
      </c>
      <c r="J35" s="1"/>
      <c r="K35" s="1"/>
    </row>
    <row r="36" customFormat="false" ht="15.75" hidden="false" customHeight="false" outlineLevel="0" collapsed="false">
      <c r="A36" s="1" t="s">
        <v>16</v>
      </c>
      <c r="B36" s="1" t="s">
        <v>17</v>
      </c>
      <c r="C36" s="1" t="s">
        <v>112</v>
      </c>
      <c r="D36" s="1"/>
      <c r="E36" s="1" t="n">
        <v>2</v>
      </c>
      <c r="F36" s="2"/>
      <c r="G36" s="3" t="n">
        <f aca="false">Table1[[#This Row],[Quantity]]*Table1[[#This Row],[Unit Cost]]</f>
        <v>0</v>
      </c>
      <c r="H36" s="1"/>
      <c r="I36" s="1" t="s">
        <v>74</v>
      </c>
      <c r="J36" s="1"/>
      <c r="K36" s="1"/>
    </row>
    <row r="37" customFormat="false" ht="15.75" hidden="false" customHeight="false" outlineLevel="0" collapsed="false">
      <c r="A37" s="1" t="s">
        <v>65</v>
      </c>
      <c r="B37" s="1" t="s">
        <v>17</v>
      </c>
      <c r="C37" s="1" t="s">
        <v>112</v>
      </c>
      <c r="D37" s="1"/>
      <c r="E37" s="1" t="n">
        <v>8</v>
      </c>
      <c r="F37" s="2"/>
      <c r="G37" s="3" t="n">
        <f aca="false">Table1[[#This Row],[Quantity]]*Table1[[#This Row],[Unit Cost]]</f>
        <v>0</v>
      </c>
      <c r="H37" s="1"/>
      <c r="I37" s="1" t="s">
        <v>74</v>
      </c>
      <c r="J37" s="1"/>
      <c r="K37" s="1"/>
    </row>
    <row r="38" customFormat="false" ht="15.75" hidden="false" customHeight="false" outlineLevel="0" collapsed="false">
      <c r="A38" s="1" t="s">
        <v>69</v>
      </c>
      <c r="B38" s="1" t="s">
        <v>17</v>
      </c>
      <c r="C38" s="1" t="s">
        <v>112</v>
      </c>
      <c r="D38" s="1"/>
      <c r="E38" s="1" t="n">
        <v>1</v>
      </c>
      <c r="F38" s="2"/>
      <c r="G38" s="3" t="n">
        <f aca="false">Table1[[#This Row],[Quantity]]*Table1[[#This Row],[Unit Cost]]</f>
        <v>0</v>
      </c>
      <c r="H38" s="1"/>
      <c r="I38" s="1" t="s">
        <v>74</v>
      </c>
      <c r="J38" s="1"/>
      <c r="K38" s="1"/>
    </row>
    <row r="39" customFormat="false" ht="15.75" hidden="false" customHeight="false" outlineLevel="0" collapsed="false">
      <c r="A39" s="1" t="s">
        <v>25</v>
      </c>
      <c r="B39" s="1" t="s">
        <v>17</v>
      </c>
      <c r="C39" s="1" t="s">
        <v>113</v>
      </c>
      <c r="D39" s="1" t="s">
        <v>114</v>
      </c>
      <c r="E39" s="1" t="n">
        <v>2</v>
      </c>
      <c r="F39" s="2"/>
      <c r="G39" s="3" t="n">
        <f aca="false">Table1[[#This Row],[Quantity]]*Table1[[#This Row],[Unit Cost]]</f>
        <v>0</v>
      </c>
      <c r="H39" s="1" t="s">
        <v>115</v>
      </c>
      <c r="I39" s="1" t="s">
        <v>74</v>
      </c>
      <c r="J39" s="1"/>
      <c r="K39" s="1"/>
    </row>
    <row r="40" customFormat="false" ht="15.75" hidden="false" customHeight="false" outlineLevel="0" collapsed="false">
      <c r="A40" s="1" t="s">
        <v>16</v>
      </c>
      <c r="B40" s="1" t="s">
        <v>17</v>
      </c>
      <c r="C40" s="1" t="s">
        <v>116</v>
      </c>
      <c r="D40" s="1" t="s">
        <v>107</v>
      </c>
      <c r="E40" s="1" t="n">
        <v>2</v>
      </c>
      <c r="F40" s="2"/>
      <c r="G40" s="3" t="n">
        <f aca="false">Table1[[#This Row],[Quantity]]*Table1[[#This Row],[Unit Cost]]</f>
        <v>0</v>
      </c>
      <c r="H40" s="1"/>
      <c r="I40" s="1" t="s">
        <v>74</v>
      </c>
      <c r="J40" s="1"/>
      <c r="K40" s="1"/>
    </row>
    <row r="41" customFormat="false" ht="15.75" hidden="false" customHeight="false" outlineLevel="0" collapsed="false">
      <c r="A41" s="1" t="s">
        <v>37</v>
      </c>
      <c r="B41" s="1" t="s">
        <v>17</v>
      </c>
      <c r="C41" s="1" t="s">
        <v>116</v>
      </c>
      <c r="D41" s="1" t="n">
        <v>1206</v>
      </c>
      <c r="E41" s="1" t="n">
        <v>1</v>
      </c>
      <c r="F41" s="2"/>
      <c r="G41" s="3" t="n">
        <f aca="false">Table1[[#This Row],[Quantity]]*Table1[[#This Row],[Unit Cost]]</f>
        <v>0</v>
      </c>
      <c r="H41" s="1"/>
      <c r="I41" s="1" t="s">
        <v>74</v>
      </c>
      <c r="J41" s="1"/>
      <c r="K41" s="1"/>
    </row>
    <row r="42" customFormat="false" ht="15.75" hidden="false" customHeight="false" outlineLevel="0" collapsed="false">
      <c r="A42" s="1" t="s">
        <v>37</v>
      </c>
      <c r="B42" s="1" t="s">
        <v>17</v>
      </c>
      <c r="C42" s="1" t="s">
        <v>117</v>
      </c>
      <c r="D42" s="1" t="s">
        <v>118</v>
      </c>
      <c r="E42" s="1" t="n">
        <v>2</v>
      </c>
      <c r="F42" s="2"/>
      <c r="G42" s="3" t="n">
        <f aca="false">Table1[[#This Row],[Quantity]]*Table1[[#This Row],[Unit Cost]]</f>
        <v>0</v>
      </c>
      <c r="H42" s="1"/>
      <c r="I42" s="1" t="s">
        <v>74</v>
      </c>
      <c r="J42" s="1"/>
      <c r="K42" s="1"/>
    </row>
    <row r="43" customFormat="false" ht="15.75" hidden="false" customHeight="false" outlineLevel="0" collapsed="false">
      <c r="A43" s="1" t="s">
        <v>65</v>
      </c>
      <c r="B43" s="1" t="s">
        <v>17</v>
      </c>
      <c r="C43" s="1" t="s">
        <v>119</v>
      </c>
      <c r="D43" s="1" t="s">
        <v>120</v>
      </c>
      <c r="E43" s="1" t="n">
        <v>1</v>
      </c>
      <c r="F43" s="2"/>
      <c r="G43" s="3" t="n">
        <f aca="false">Table1[[#This Row],[Quantity]]*Table1[[#This Row],[Unit Cost]]</f>
        <v>0</v>
      </c>
      <c r="H43" s="1"/>
      <c r="I43" s="1" t="s">
        <v>74</v>
      </c>
      <c r="J43" s="1"/>
      <c r="K43" s="1" t="s">
        <v>121</v>
      </c>
    </row>
    <row r="44" customFormat="false" ht="15.75" hidden="false" customHeight="false" outlineLevel="0" collapsed="false">
      <c r="A44" s="1" t="s">
        <v>65</v>
      </c>
      <c r="B44" s="1" t="s">
        <v>17</v>
      </c>
      <c r="C44" s="1" t="s">
        <v>119</v>
      </c>
      <c r="D44" s="1" t="s">
        <v>122</v>
      </c>
      <c r="E44" s="1" t="n">
        <v>1</v>
      </c>
      <c r="F44" s="2"/>
      <c r="G44" s="3" t="n">
        <f aca="false">Table1[[#This Row],[Quantity]]*Table1[[#This Row],[Unit Cost]]</f>
        <v>0</v>
      </c>
      <c r="H44" s="1"/>
      <c r="I44" s="1" t="s">
        <v>74</v>
      </c>
      <c r="J44" s="1"/>
      <c r="K44" s="1" t="s">
        <v>123</v>
      </c>
    </row>
    <row r="45" customFormat="false" ht="15.75" hidden="false" customHeight="false" outlineLevel="0" collapsed="false">
      <c r="A45" s="1" t="s">
        <v>37</v>
      </c>
      <c r="B45" s="1" t="s">
        <v>17</v>
      </c>
      <c r="C45" s="1" t="s">
        <v>124</v>
      </c>
      <c r="D45" s="1" t="s">
        <v>125</v>
      </c>
      <c r="E45" s="1" t="n">
        <v>1</v>
      </c>
      <c r="F45" s="2" t="n">
        <v>0.76</v>
      </c>
      <c r="G45" s="3" t="n">
        <f aca="false">Table1[[#This Row],[Quantity]]*Table1[[#This Row],[Unit Cost]]</f>
        <v>0.76</v>
      </c>
      <c r="H45" s="1"/>
      <c r="I45" s="1" t="s">
        <v>74</v>
      </c>
      <c r="J45" s="5" t="s">
        <v>126</v>
      </c>
      <c r="K45" s="1"/>
    </row>
    <row r="46" customFormat="false" ht="15.75" hidden="false" customHeight="false" outlineLevel="0" collapsed="false">
      <c r="A46" s="1" t="s">
        <v>65</v>
      </c>
      <c r="B46" s="1" t="s">
        <v>17</v>
      </c>
      <c r="C46" s="1" t="s">
        <v>127</v>
      </c>
      <c r="D46" s="1" t="s">
        <v>128</v>
      </c>
      <c r="E46" s="1" t="n">
        <v>1</v>
      </c>
      <c r="F46" s="2" t="n">
        <v>9.11</v>
      </c>
      <c r="G46" s="3" t="n">
        <f aca="false">Table1[[#This Row],[Quantity]]*Table1[[#This Row],[Unit Cost]]</f>
        <v>9.11</v>
      </c>
      <c r="H46" s="1"/>
      <c r="I46" s="1" t="s">
        <v>74</v>
      </c>
      <c r="J46" s="4" t="s">
        <v>129</v>
      </c>
      <c r="K46" s="1"/>
    </row>
    <row r="47" customFormat="false" ht="15.75" hidden="false" customHeight="false" outlineLevel="0" collapsed="false">
      <c r="A47" s="1" t="s">
        <v>65</v>
      </c>
      <c r="B47" s="1" t="s">
        <v>17</v>
      </c>
      <c r="C47" s="1" t="s">
        <v>130</v>
      </c>
      <c r="D47" s="1" t="s">
        <v>131</v>
      </c>
      <c r="E47" s="1" t="n">
        <v>1</v>
      </c>
      <c r="F47" s="2"/>
      <c r="G47" s="3" t="n">
        <f aca="false">Table1[[#This Row],[Quantity]]*Table1[[#This Row],[Unit Cost]]</f>
        <v>0</v>
      </c>
      <c r="H47" s="1"/>
      <c r="I47" s="1" t="s">
        <v>74</v>
      </c>
      <c r="J47" s="1"/>
      <c r="K47" s="1"/>
    </row>
    <row r="48" customFormat="false" ht="15.75" hidden="false" customHeight="false" outlineLevel="0" collapsed="false">
      <c r="A48" s="1" t="s">
        <v>65</v>
      </c>
      <c r="B48" s="1" t="s">
        <v>17</v>
      </c>
      <c r="C48" s="1" t="s">
        <v>132</v>
      </c>
      <c r="D48" s="1" t="s">
        <v>133</v>
      </c>
      <c r="E48" s="1" t="n">
        <v>1</v>
      </c>
      <c r="F48" s="2"/>
      <c r="G48" s="3" t="n">
        <f aca="false">Table1[[#This Row],[Quantity]]*Table1[[#This Row],[Unit Cost]]</f>
        <v>0</v>
      </c>
      <c r="H48" s="1"/>
      <c r="I48" s="1" t="s">
        <v>74</v>
      </c>
      <c r="J48" s="1"/>
      <c r="K48" s="1"/>
    </row>
    <row r="49" customFormat="false" ht="15.75" hidden="false" customHeight="false" outlineLevel="0" collapsed="false">
      <c r="A49" s="1" t="s">
        <v>65</v>
      </c>
      <c r="B49" s="1" t="s">
        <v>17</v>
      </c>
      <c r="C49" s="1" t="s">
        <v>132</v>
      </c>
      <c r="D49" s="1" t="s">
        <v>134</v>
      </c>
      <c r="E49" s="1" t="n">
        <v>1</v>
      </c>
      <c r="F49" s="2"/>
      <c r="G49" s="3" t="n">
        <f aca="false">Table1[[#This Row],[Quantity]]*Table1[[#This Row],[Unit Cost]]</f>
        <v>0</v>
      </c>
      <c r="H49" s="1"/>
      <c r="I49" s="1" t="s">
        <v>74</v>
      </c>
      <c r="J49" s="1"/>
      <c r="K49" s="1"/>
    </row>
    <row r="50" customFormat="false" ht="15.75" hidden="false" customHeight="false" outlineLevel="0" collapsed="false">
      <c r="A50" s="1" t="s">
        <v>65</v>
      </c>
      <c r="B50" s="1" t="s">
        <v>17</v>
      </c>
      <c r="C50" s="1" t="s">
        <v>132</v>
      </c>
      <c r="D50" s="1" t="s">
        <v>135</v>
      </c>
      <c r="E50" s="1" t="n">
        <v>1</v>
      </c>
      <c r="F50" s="2"/>
      <c r="G50" s="3" t="n">
        <f aca="false">Table1[[#This Row],[Quantity]]*Table1[[#This Row],[Unit Cost]]</f>
        <v>0</v>
      </c>
      <c r="H50" s="1"/>
      <c r="I50" s="1" t="s">
        <v>74</v>
      </c>
      <c r="J50" s="1"/>
      <c r="K50" s="1"/>
    </row>
    <row r="51" customFormat="false" ht="15.75" hidden="false" customHeight="false" outlineLevel="0" collapsed="false">
      <c r="A51" s="1" t="s">
        <v>65</v>
      </c>
      <c r="B51" s="1" t="s">
        <v>17</v>
      </c>
      <c r="C51" s="1" t="s">
        <v>132</v>
      </c>
      <c r="D51" s="1" t="s">
        <v>136</v>
      </c>
      <c r="E51" s="1" t="n">
        <v>1</v>
      </c>
      <c r="F51" s="2"/>
      <c r="G51" s="3" t="n">
        <f aca="false">Table1[[#This Row],[Quantity]]*Table1[[#This Row],[Unit Cost]]</f>
        <v>0</v>
      </c>
      <c r="H51" s="1"/>
      <c r="I51" s="1" t="s">
        <v>74</v>
      </c>
      <c r="J51" s="1"/>
      <c r="K51" s="1"/>
    </row>
    <row r="52" customFormat="false" ht="15.75" hidden="false" customHeight="false" outlineLevel="0" collapsed="false">
      <c r="A52" s="1" t="s">
        <v>65</v>
      </c>
      <c r="B52" s="1" t="s">
        <v>17</v>
      </c>
      <c r="C52" s="1" t="s">
        <v>132</v>
      </c>
      <c r="D52" s="1" t="s">
        <v>137</v>
      </c>
      <c r="E52" s="1" t="n">
        <v>1</v>
      </c>
      <c r="F52" s="2"/>
      <c r="G52" s="3" t="n">
        <f aca="false">Table1[[#This Row],[Quantity]]*Table1[[#This Row],[Unit Cost]]</f>
        <v>0</v>
      </c>
      <c r="H52" s="1"/>
      <c r="I52" s="1" t="s">
        <v>74</v>
      </c>
      <c r="J52" s="1"/>
      <c r="K52" s="1"/>
    </row>
    <row r="53" customFormat="false" ht="15.75" hidden="false" customHeight="false" outlineLevel="0" collapsed="false">
      <c r="A53" s="1" t="s">
        <v>37</v>
      </c>
      <c r="B53" s="1" t="s">
        <v>17</v>
      </c>
      <c r="C53" s="1" t="s">
        <v>132</v>
      </c>
      <c r="D53" s="1" t="s">
        <v>138</v>
      </c>
      <c r="E53" s="1" t="n">
        <v>12</v>
      </c>
      <c r="F53" s="2"/>
      <c r="G53" s="3" t="n">
        <f aca="false">Table1[[#This Row],[Quantity]]*Table1[[#This Row],[Unit Cost]]</f>
        <v>0</v>
      </c>
      <c r="H53" s="1"/>
      <c r="I53" s="1" t="s">
        <v>74</v>
      </c>
      <c r="J53" s="1"/>
      <c r="K53" s="1"/>
    </row>
    <row r="54" customFormat="false" ht="15.75" hidden="false" customHeight="false" outlineLevel="0" collapsed="false">
      <c r="A54" s="1" t="s">
        <v>37</v>
      </c>
      <c r="B54" s="1" t="s">
        <v>17</v>
      </c>
      <c r="C54" s="1" t="s">
        <v>132</v>
      </c>
      <c r="D54" s="1" t="s">
        <v>139</v>
      </c>
      <c r="E54" s="1" t="n">
        <v>1</v>
      </c>
      <c r="F54" s="2"/>
      <c r="G54" s="3" t="n">
        <f aca="false">Table1[[#This Row],[Quantity]]*Table1[[#This Row],[Unit Cost]]</f>
        <v>0</v>
      </c>
      <c r="H54" s="1"/>
      <c r="I54" s="1" t="s">
        <v>74</v>
      </c>
      <c r="J54" s="1"/>
      <c r="K54" s="1"/>
    </row>
    <row r="55" customFormat="false" ht="15.75" hidden="false" customHeight="false" outlineLevel="0" collapsed="false">
      <c r="A55" s="1" t="s">
        <v>37</v>
      </c>
      <c r="B55" s="1" t="s">
        <v>17</v>
      </c>
      <c r="C55" s="1" t="s">
        <v>132</v>
      </c>
      <c r="D55" s="1" t="s">
        <v>140</v>
      </c>
      <c r="E55" s="1" t="n">
        <v>1</v>
      </c>
      <c r="F55" s="2"/>
      <c r="G55" s="3" t="n">
        <f aca="false">Table1[[#This Row],[Quantity]]*Table1[[#This Row],[Unit Cost]]</f>
        <v>0</v>
      </c>
      <c r="H55" s="1"/>
      <c r="I55" s="1" t="s">
        <v>74</v>
      </c>
      <c r="J55" s="1"/>
      <c r="K55" s="1"/>
    </row>
    <row r="56" customFormat="false" ht="15.75" hidden="false" customHeight="false" outlineLevel="0" collapsed="false">
      <c r="A56" s="1" t="s">
        <v>37</v>
      </c>
      <c r="B56" s="1" t="s">
        <v>17</v>
      </c>
      <c r="C56" s="1" t="s">
        <v>132</v>
      </c>
      <c r="D56" s="1" t="s">
        <v>141</v>
      </c>
      <c r="E56" s="1" t="n">
        <v>1</v>
      </c>
      <c r="F56" s="2"/>
      <c r="G56" s="3" t="n">
        <f aca="false">Table1[[#This Row],[Quantity]]*Table1[[#This Row],[Unit Cost]]</f>
        <v>0</v>
      </c>
      <c r="H56" s="1"/>
      <c r="I56" s="1" t="s">
        <v>74</v>
      </c>
      <c r="J56" s="1"/>
      <c r="K56" s="1"/>
    </row>
    <row r="57" customFormat="false" ht="15.75" hidden="false" customHeight="false" outlineLevel="0" collapsed="false">
      <c r="A57" s="1" t="s">
        <v>37</v>
      </c>
      <c r="B57" s="1" t="s">
        <v>17</v>
      </c>
      <c r="C57" s="1" t="s">
        <v>132</v>
      </c>
      <c r="D57" s="1" t="s">
        <v>142</v>
      </c>
      <c r="E57" s="1" t="n">
        <v>2</v>
      </c>
      <c r="F57" s="2"/>
      <c r="G57" s="3" t="n">
        <f aca="false">Table1[[#This Row],[Quantity]]*Table1[[#This Row],[Unit Cost]]</f>
        <v>0</v>
      </c>
      <c r="H57" s="1"/>
      <c r="I57" s="1" t="s">
        <v>74</v>
      </c>
      <c r="J57" s="1"/>
      <c r="K57" s="1"/>
    </row>
    <row r="58" customFormat="false" ht="15.75" hidden="false" customHeight="false" outlineLevel="0" collapsed="false">
      <c r="A58" s="1" t="s">
        <v>25</v>
      </c>
      <c r="B58" s="1" t="s">
        <v>17</v>
      </c>
      <c r="C58" s="1" t="s">
        <v>132</v>
      </c>
      <c r="D58" s="1" t="s">
        <v>135</v>
      </c>
      <c r="E58" s="1" t="n">
        <v>2</v>
      </c>
      <c r="F58" s="2"/>
      <c r="G58" s="3" t="n">
        <f aca="false">Table1[[#This Row],[Quantity]]*Table1[[#This Row],[Unit Cost]]</f>
        <v>0</v>
      </c>
      <c r="H58" s="1" t="s">
        <v>143</v>
      </c>
      <c r="I58" s="1" t="s">
        <v>74</v>
      </c>
      <c r="J58" s="1"/>
      <c r="K58" s="1"/>
    </row>
    <row r="59" customFormat="false" ht="15.75" hidden="false" customHeight="false" outlineLevel="0" collapsed="false">
      <c r="A59" s="1" t="s">
        <v>65</v>
      </c>
      <c r="B59" s="1" t="s">
        <v>17</v>
      </c>
      <c r="C59" s="1" t="s">
        <v>144</v>
      </c>
      <c r="D59" s="1" t="s">
        <v>145</v>
      </c>
      <c r="E59" s="1" t="n">
        <v>1</v>
      </c>
      <c r="F59" s="2"/>
      <c r="G59" s="3" t="n">
        <f aca="false">Table1[[#This Row],[Quantity]]*Table1[[#This Row],[Unit Cost]]</f>
        <v>0</v>
      </c>
      <c r="H59" s="1"/>
      <c r="I59" s="1" t="s">
        <v>74</v>
      </c>
      <c r="J59" s="1"/>
      <c r="K59" s="1"/>
    </row>
    <row r="60" customFormat="false" ht="15.75" hidden="false" customHeight="false" outlineLevel="0" collapsed="false">
      <c r="A60" s="1" t="s">
        <v>37</v>
      </c>
      <c r="B60" s="1" t="s">
        <v>17</v>
      </c>
      <c r="C60" s="1" t="s">
        <v>146</v>
      </c>
      <c r="D60" s="1" t="s">
        <v>147</v>
      </c>
      <c r="E60" s="1" t="n">
        <v>1</v>
      </c>
      <c r="F60" s="2"/>
      <c r="G60" s="3" t="n">
        <f aca="false">Table1[[#This Row],[Quantity]]*Table1[[#This Row],[Unit Cost]]</f>
        <v>0</v>
      </c>
      <c r="H60" s="1"/>
      <c r="I60" s="1" t="s">
        <v>74</v>
      </c>
      <c r="J60" s="1"/>
      <c r="K60" s="1"/>
    </row>
    <row r="61" customFormat="false" ht="15.75" hidden="false" customHeight="false" outlineLevel="0" collapsed="false">
      <c r="A61" s="1" t="s">
        <v>65</v>
      </c>
      <c r="B61" s="1" t="s">
        <v>17</v>
      </c>
      <c r="C61" s="1" t="s">
        <v>148</v>
      </c>
      <c r="D61" s="1" t="s">
        <v>149</v>
      </c>
      <c r="E61" s="1" t="n">
        <v>1</v>
      </c>
      <c r="F61" s="2"/>
      <c r="G61" s="3" t="n">
        <f aca="false">Table1[[#This Row],[Quantity]]*Table1[[#This Row],[Unit Cost]]</f>
        <v>0</v>
      </c>
      <c r="H61" s="1" t="s">
        <v>150</v>
      </c>
      <c r="I61" s="1" t="s">
        <v>74</v>
      </c>
      <c r="J61" s="1"/>
      <c r="K61" s="1"/>
    </row>
    <row r="62" customFormat="false" ht="15.75" hidden="false" customHeight="false" outlineLevel="0" collapsed="false">
      <c r="A62" s="1" t="s">
        <v>25</v>
      </c>
      <c r="B62" s="1" t="s">
        <v>17</v>
      </c>
      <c r="C62" s="1" t="s">
        <v>148</v>
      </c>
      <c r="D62" s="1" t="s">
        <v>151</v>
      </c>
      <c r="E62" s="1" t="n">
        <v>2</v>
      </c>
      <c r="F62" s="2"/>
      <c r="G62" s="3" t="n">
        <f aca="false">Table1[[#This Row],[Quantity]]*Table1[[#This Row],[Unit Cost]]</f>
        <v>0</v>
      </c>
      <c r="H62" s="1" t="s">
        <v>152</v>
      </c>
      <c r="I62" s="1" t="s">
        <v>74</v>
      </c>
      <c r="J62" s="1"/>
      <c r="K62" s="1" t="s">
        <v>153</v>
      </c>
    </row>
    <row r="63" customFormat="false" ht="15.75" hidden="false" customHeight="false" outlineLevel="0" collapsed="false">
      <c r="A63" s="1"/>
      <c r="B63" s="1" t="s">
        <v>22</v>
      </c>
      <c r="C63" s="1" t="s">
        <v>154</v>
      </c>
      <c r="D63" s="1" t="s">
        <v>155</v>
      </c>
      <c r="E63" s="1" t="n">
        <v>2</v>
      </c>
      <c r="F63" s="2" t="n">
        <v>3.45</v>
      </c>
      <c r="G63" s="3" t="n">
        <f aca="false">Table1[[#This Row],[Quantity]]*Table1[[#This Row],[Unit Cost]]</f>
        <v>6.9</v>
      </c>
      <c r="H63" s="1"/>
      <c r="I63" s="1" t="s">
        <v>156</v>
      </c>
      <c r="J63" s="1"/>
      <c r="K63" s="1"/>
    </row>
    <row r="64" customFormat="false" ht="15.75" hidden="false" customHeight="false" outlineLevel="0" collapsed="false">
      <c r="A64" s="1" t="s">
        <v>69</v>
      </c>
      <c r="B64" s="1" t="s">
        <v>17</v>
      </c>
      <c r="C64" s="1" t="s">
        <v>69</v>
      </c>
      <c r="D64" s="1" t="s">
        <v>157</v>
      </c>
      <c r="E64" s="1" t="n">
        <v>1</v>
      </c>
      <c r="F64" s="2" t="n">
        <v>20</v>
      </c>
      <c r="G64" s="3" t="n">
        <f aca="false">Table1[[#This Row],[Quantity]]*Table1[[#This Row],[Unit Cost]]</f>
        <v>20</v>
      </c>
      <c r="H64" s="1"/>
      <c r="I64" s="1" t="s">
        <v>158</v>
      </c>
      <c r="J64" s="4" t="s">
        <v>159</v>
      </c>
      <c r="K64" s="1"/>
    </row>
    <row r="65" customFormat="false" ht="15.75" hidden="false" customHeight="false" outlineLevel="0" collapsed="false">
      <c r="A65" s="1" t="s">
        <v>160</v>
      </c>
      <c r="B65" s="1"/>
      <c r="C65" s="1"/>
      <c r="D65" s="1"/>
      <c r="E65" s="1" t="n">
        <f aca="false">SUBTOTAL(109,Table1[Quantity])</f>
        <v>367</v>
      </c>
      <c r="F65" s="1"/>
      <c r="G65" s="3" t="n">
        <f aca="false">SUBTOTAL(109,Table1[Total Cost])</f>
        <v>316.86</v>
      </c>
      <c r="H65" s="1"/>
      <c r="I65" s="1"/>
      <c r="J65" s="1"/>
      <c r="K65" s="1" t="n">
        <f aca="false">SUBTOTAL(103,Table1[Notes])</f>
        <v>6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hyperlinks>
    <hyperlink ref="J2" r:id="rId1" display="https://3dkeycap.com/products/mx-chicago-steno-keycap-set?variant=46916802117890"/>
    <hyperlink ref="J3" r:id="rId2" display="https://www.alibaba.com/product-detail/Fool-proof-Customizable-2-12-Pin_1601813292668.html"/>
    <hyperlink ref="J4" r:id="rId3" display="https://www.alibaba.com/product-detail/VEICHU-VCN310-311-New-Stainless-Steel_1601020185379.html"/>
    <hyperlink ref="J5" r:id="rId4" display="https://www.aliexpress.us/item/3256806932453023.html"/>
    <hyperlink ref="J6" r:id="rId5" display="https://a.co/d/0cnfUvY7"/>
    <hyperlink ref="J7" r:id="rId6" display="https://a.co/d/0iY2ZUL0"/>
    <hyperlink ref="J8" r:id="rId7" display="https://a.co/d/0cJAZBIr"/>
    <hyperlink ref="J9" r:id="rId8" display="https://a.co/d/02MneUm9"/>
    <hyperlink ref="J10" r:id="rId9" display="https://a.co/d/0dVizHYI"/>
    <hyperlink ref="J11" r:id="rId10" display="https://a.co/d/006UHDss"/>
    <hyperlink ref="J12" r:id="rId11" display="https://a.co/d/0bMJlYoN"/>
    <hyperlink ref="J13" r:id="rId12" display="https://a.co/d/06izoJGP"/>
    <hyperlink ref="J23" r:id="rId13" display="https://mou.sr/44sG7IC"/>
    <hyperlink ref="J24" r:id="rId14" display="https://mou.sr/4fb3yuO"/>
    <hyperlink ref="J25" r:id="rId15" display="https://mou.sr/4vZz72b"/>
    <hyperlink ref="J26" r:id="rId16" display="https://mou.sr/44s4hD5"/>
    <hyperlink ref="J27" r:id="rId17" display="https://mou.sr/4yvB8EW"/>
    <hyperlink ref="J28" r:id="rId18" display="https://mou.sr/3VQvLxN"/>
    <hyperlink ref="J29" r:id="rId19" display="https://mou.sr/4pgOYH0"/>
    <hyperlink ref="J30" r:id="rId20" display="https://mou.sr/4w8U8ao"/>
    <hyperlink ref="J31" r:id="rId21" display="https://www.mcmaster.com/98390A040/"/>
    <hyperlink ref="J33" r:id="rId22" display="https://mou.sr/4vZcLxN"/>
    <hyperlink ref="J34" r:id="rId23" display="https://mou.sr/4pp1IeD"/>
    <hyperlink ref="J45" r:id="rId24" display="https://mou.sr/4vIN2c1"/>
    <hyperlink ref="J46" r:id="rId25" display="https://mou.sr/4pa7teo"/>
    <hyperlink ref="J64" r:id="rId26" display="https://typeractive.xyz/products/nice-view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LibreOffice/26.2.4.2$Linux_X86_64 LibreOffice_project/3346a99e6b841765b75a9b29714a5b95c6761ce3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2026-07-10T15:22:46Z</dcterms:created>
  <dc:creator>Josh Lucas</dc:creator>
  <dc:description/>
  <dc:language>en-US</dc:language>
  <cp:lastModifiedBy/>
  <dcterms:modified xsi:type="dcterms:W3CDTF">2026-07-11T00:06:27Z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