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9207b9eabef3a75/Repositories/androphage/doc/"/>
    </mc:Choice>
  </mc:AlternateContent>
  <xr:revisionPtr revIDLastSave="415" documentId="8_{873F84E4-9022-4668-BD98-D9453E4117AC}" xr6:coauthVersionLast="47" xr6:coauthVersionMax="47" xr10:uidLastSave="{95CE8BE0-41D3-4EE2-ACCF-CEE9889F9AB8}"/>
  <bookViews>
    <workbookView xWindow="38280" yWindow="-120" windowWidth="38640" windowHeight="21120" xr2:uid="{8DB1EDA4-4242-4AFC-9D80-17DA06623A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2" i="1" l="1"/>
  <c r="G63" i="1"/>
  <c r="G59" i="1"/>
  <c r="G34" i="1"/>
  <c r="G35" i="1"/>
  <c r="G36" i="1"/>
  <c r="G28" i="1"/>
  <c r="G27" i="1"/>
  <c r="G37" i="1"/>
  <c r="G38" i="1"/>
  <c r="G25" i="1"/>
  <c r="G33" i="1"/>
  <c r="G30" i="1"/>
  <c r="G14" i="1"/>
  <c r="G21" i="1"/>
  <c r="G16" i="1"/>
  <c r="G8" i="1"/>
  <c r="G17" i="1"/>
  <c r="G19" i="1"/>
  <c r="G9" i="1"/>
  <c r="G22" i="1"/>
  <c r="G18" i="1"/>
  <c r="G20" i="1"/>
  <c r="G11" i="1"/>
  <c r="G12" i="1"/>
  <c r="G10" i="1"/>
  <c r="G2" i="1"/>
  <c r="G3" i="1"/>
  <c r="G5" i="1"/>
  <c r="G4" i="1"/>
  <c r="G42" i="1"/>
  <c r="G44" i="1"/>
  <c r="G39" i="1"/>
  <c r="G41" i="1"/>
  <c r="G46" i="1"/>
  <c r="G48" i="1"/>
  <c r="G47" i="1"/>
  <c r="G43" i="1"/>
  <c r="G45" i="1"/>
  <c r="G51" i="1"/>
  <c r="G53" i="1"/>
  <c r="G52" i="1"/>
  <c r="G49" i="1"/>
  <c r="G50" i="1"/>
  <c r="G54" i="1"/>
  <c r="G55" i="1"/>
  <c r="G56" i="1"/>
  <c r="G57" i="1"/>
  <c r="G58" i="1"/>
  <c r="G60" i="1"/>
  <c r="G61" i="1"/>
  <c r="G64" i="1"/>
  <c r="G65" i="1"/>
  <c r="G66" i="1"/>
  <c r="G67" i="1"/>
  <c r="G7" i="1"/>
  <c r="G15" i="1"/>
  <c r="G13" i="1"/>
  <c r="G23" i="1"/>
  <c r="G24" i="1"/>
  <c r="G26" i="1"/>
  <c r="G29" i="1"/>
  <c r="G31" i="1"/>
  <c r="G32" i="1"/>
  <c r="G40" i="1"/>
  <c r="G6" i="1"/>
  <c r="E68" i="1"/>
  <c r="K68" i="1"/>
  <c r="G68" i="1" l="1"/>
</calcChain>
</file>

<file path=xl/sharedStrings.xml><?xml version="1.0" encoding="utf-8"?>
<sst xmlns="http://schemas.openxmlformats.org/spreadsheetml/2006/main" count="347" uniqueCount="149">
  <si>
    <t>Subassembly</t>
  </si>
  <si>
    <t>Category</t>
  </si>
  <si>
    <t>Part</t>
  </si>
  <si>
    <t>Specifications</t>
  </si>
  <si>
    <t>Quantity</t>
  </si>
  <si>
    <t>Unit Cost</t>
  </si>
  <si>
    <t>Total Cost</t>
  </si>
  <si>
    <t>LCSC</t>
  </si>
  <si>
    <t>Source</t>
  </si>
  <si>
    <t>Link</t>
  </si>
  <si>
    <t>Electronic</t>
  </si>
  <si>
    <t>FPC cable</t>
  </si>
  <si>
    <t>Mouser</t>
  </si>
  <si>
    <t>Connector PCB</t>
  </si>
  <si>
    <t>Magnetic pogo pin connector</t>
  </si>
  <si>
    <t>pair, 12-pin</t>
  </si>
  <si>
    <t>AliBaba</t>
  </si>
  <si>
    <t>Battery</t>
  </si>
  <si>
    <t>Amazon</t>
  </si>
  <si>
    <t>https://a.co/d/0cnfUvY7</t>
  </si>
  <si>
    <t>Control PCB</t>
  </si>
  <si>
    <t>JLCPCB</t>
  </si>
  <si>
    <t>Matrix PCB</t>
  </si>
  <si>
    <t>MCU module</t>
  </si>
  <si>
    <t>Holyiot 18010</t>
  </si>
  <si>
    <t>https://mou.sr/4pa7teo</t>
  </si>
  <si>
    <t>https://a.co/d/0cJAZBIr</t>
  </si>
  <si>
    <t>https://a.co/d/02MneUm9</t>
  </si>
  <si>
    <t>Screen</t>
  </si>
  <si>
    <t>nice!view</t>
  </si>
  <si>
    <t>Typeractive</t>
  </si>
  <si>
    <t>https://typeractive.xyz/products/nice-view</t>
  </si>
  <si>
    <t>Sensor PCB</t>
  </si>
  <si>
    <t>Trackball Sensor</t>
  </si>
  <si>
    <t>PMW-3610DM-SUDU</t>
  </si>
  <si>
    <t>AliExpress</t>
  </si>
  <si>
    <t>VIK nice!nano adapter PCB</t>
  </si>
  <si>
    <t>Mechanical</t>
  </si>
  <si>
    <t>CraftCloud</t>
  </si>
  <si>
    <t>Hinge</t>
  </si>
  <si>
    <t>SendCutSend</t>
  </si>
  <si>
    <t>Veichu VCN310 BTU</t>
  </si>
  <si>
    <t>Tactile</t>
  </si>
  <si>
    <t>https://a.co/d/06izoJGP</t>
  </si>
  <si>
    <t>Keycap set</t>
  </si>
  <si>
    <t>3dKeycap</t>
  </si>
  <si>
    <t>https://3dkeycap.com/products/mx-chicago-steno-keycap-set?variant=46916802117890</t>
  </si>
  <si>
    <t>Minimum 2 R1, 10 R2, 10 R3, 10 R4, 6/4 R5, 6/8 thumb</t>
  </si>
  <si>
    <t>Clock pin</t>
  </si>
  <si>
    <t>Trackball</t>
  </si>
  <si>
    <t xml:space="preserve">34-35 mm </t>
  </si>
  <si>
    <t>Total</t>
  </si>
  <si>
    <t>Capacitor</t>
  </si>
  <si>
    <t>Resistor</t>
  </si>
  <si>
    <t>FPC connector</t>
  </si>
  <si>
    <t>mini</t>
  </si>
  <si>
    <t>FPC Connector</t>
  </si>
  <si>
    <t>Diode</t>
  </si>
  <si>
    <t>Heat-set insert</t>
  </si>
  <si>
    <t>PCB</t>
  </si>
  <si>
    <t>VIK PMW3610-narrow</t>
  </si>
  <si>
    <t>Stainless steel, 1:48 taper</t>
  </si>
  <si>
    <t>2mm avg. diameter</t>
  </si>
  <si>
    <t>VIK Magnetic Connector, pair</t>
  </si>
  <si>
    <t>Control, pair</t>
  </si>
  <si>
    <t>Matrix, pair</t>
  </si>
  <si>
    <t>Voltage Regulator</t>
  </si>
  <si>
    <t>1.8V 200mA output</t>
  </si>
  <si>
    <t>C14663</t>
  </si>
  <si>
    <t>C15849</t>
  </si>
  <si>
    <t>C2930148</t>
  </si>
  <si>
    <t>C57112</t>
  </si>
  <si>
    <t>C51412</t>
  </si>
  <si>
    <t>C5213732</t>
  </si>
  <si>
    <t>Type A, 0.5mm pitch, 12-pin, [Length]</t>
  </si>
  <si>
    <t>2Mohm</t>
  </si>
  <si>
    <t>TCR2EF19</t>
  </si>
  <si>
    <t>C146366</t>
  </si>
  <si>
    <t>401230</t>
  </si>
  <si>
    <t>Fuse</t>
  </si>
  <si>
    <t>SMD0805-050-16V</t>
  </si>
  <si>
    <t>Ferrite Bead</t>
  </si>
  <si>
    <t>ESD Protection Diode Array</t>
  </si>
  <si>
    <t>JST-GH Connector</t>
  </si>
  <si>
    <t>4 pin</t>
  </si>
  <si>
    <t>SWD connector</t>
  </si>
  <si>
    <t>2 pin</t>
  </si>
  <si>
    <t>Battery connector</t>
  </si>
  <si>
    <t>820kohm</t>
  </si>
  <si>
    <t>C22399950</t>
  </si>
  <si>
    <t>4.7uF</t>
  </si>
  <si>
    <t>8.2kohm</t>
  </si>
  <si>
    <t>2kohm</t>
  </si>
  <si>
    <t>Battery charger</t>
  </si>
  <si>
    <t>MCP73832-2-OT</t>
  </si>
  <si>
    <t>100kohm</t>
  </si>
  <si>
    <t>Schottky diode</t>
  </si>
  <si>
    <t>1N5819WS</t>
  </si>
  <si>
    <t>MOSFET</t>
  </si>
  <si>
    <t>AO3401A</t>
  </si>
  <si>
    <t>I/O Expander</t>
  </si>
  <si>
    <t>MCP23017-SS</t>
  </si>
  <si>
    <t>Button Switch</t>
  </si>
  <si>
    <t>6mm</t>
  </si>
  <si>
    <t>USB-C receptacle</t>
  </si>
  <si>
    <t>HRO_TYPE-C-31-M-12</t>
  </si>
  <si>
    <t>5.1kohm</t>
  </si>
  <si>
    <t>10kohm, 1206</t>
  </si>
  <si>
    <t>1N4148, 0805</t>
  </si>
  <si>
    <t>100nF X7R, 0603</t>
  </si>
  <si>
    <t>100nF, 0603</t>
  </si>
  <si>
    <t>10nF, 0603</t>
  </si>
  <si>
    <t>10nF X7R, 0603</t>
  </si>
  <si>
    <t>10uF X7R, 0603</t>
  </si>
  <si>
    <t>1uF, 0603</t>
  </si>
  <si>
    <t>3.3uF (4.7uF?), 0603</t>
  </si>
  <si>
    <t>2Mohm, 0603</t>
  </si>
  <si>
    <t>LED ARGB</t>
  </si>
  <si>
    <t xml:space="preserve">APFA3010SEKJ3ZGKQBKC </t>
  </si>
  <si>
    <t xml:space="preserve">TLV75733PDYDR </t>
  </si>
  <si>
    <t>470ohm, 1206</t>
  </si>
  <si>
    <t>330ohm, 1206</t>
  </si>
  <si>
    <t>270ohm, 1206</t>
  </si>
  <si>
    <t>https://www.aliexpress.us/item/3256806932453023.html</t>
  </si>
  <si>
    <t>https://www.alibaba.com/product-detail/Fool-proof-Customizable-2-12-Pin_1601813292668.html</t>
  </si>
  <si>
    <t>https://www.alibaba.com/product-detail/VEICHU-VCN310-311-New-Stainless-Steel_1601020185379.html</t>
  </si>
  <si>
    <t>Acrylic</t>
  </si>
  <si>
    <t>Bottom Plate</t>
  </si>
  <si>
    <t>Switch Plate</t>
  </si>
  <si>
    <t>Hot-swap socket</t>
  </si>
  <si>
    <t>SLS Nylon</t>
  </si>
  <si>
    <t>Key switch</t>
  </si>
  <si>
    <t>Right Case</t>
  </si>
  <si>
    <t>Left Case</t>
  </si>
  <si>
    <t>Magnet</t>
  </si>
  <si>
    <t>4x2 round</t>
  </si>
  <si>
    <t>Screw</t>
  </si>
  <si>
    <t>M2, countersink, 7mm</t>
  </si>
  <si>
    <t>M2, round, 4mm</t>
  </si>
  <si>
    <t>M2, brass</t>
  </si>
  <si>
    <t>Kailh Choc V1/V2, Gateron KS-33</t>
  </si>
  <si>
    <t>Set of 4 leaves, unit cost for 20</t>
  </si>
  <si>
    <t>SLM 316 stainless steel</t>
  </si>
  <si>
    <t>Notes</t>
  </si>
  <si>
    <t>C2688137</t>
  </si>
  <si>
    <t>CLAMP0504DT/RCLAMP0504FBTCT</t>
  </si>
  <si>
    <t>https://mou.sr/4vZcLxN</t>
  </si>
  <si>
    <t>C21286</t>
  </si>
  <si>
    <t>https://mou.sr/4pp1IeD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</si>
</sst>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9" formatCode="&quot;$&quot;#,##0.00"/>
  </numFmts>
  <fonts count="2" x14ac:knownFonts="1">
    <font>
      <sz val="11"/>
      <color theme="1"/>
      <name val="Fira Code"/>
      <family val="2"/>
    </font>
    <font>
      <u/>
      <sz val="11"/>
      <color theme="10"/>
      <name val="Fira Cod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8" fontId="0" fillId="0" borderId="0" xfId="0" applyNumberFormat="1"/>
    <xf numFmtId="0" fontId="0" fillId="0" borderId="0" xfId="0" quotePrefix="1"/>
    <xf numFmtId="0" fontId="1" fillId="0" borderId="0" xfId="1"/>
    <xf numFmtId="169" fontId="0" fillId="0" borderId="0" xfId="0" applyNumberFormat="1"/>
  </cellXfs>
  <cellStyles count="2">
    <cellStyle name="Hyperlink" xfId="1" builtinId="8"/>
    <cellStyle name="Normal" xfId="0" builtinId="0"/>
  </cellStyles>
  <dxfs count="3">
    <dxf>
      <numFmt numFmtId="169" formatCode="&quot;$&quot;#,##0.00"/>
    </dxf>
    <dxf>
      <numFmt numFmtId="12" formatCode="&quot;$&quot;#,##0.00_);[Red]\(&quot;$&quot;#,##0.00\)"/>
    </dxf>
    <dxf>
      <numFmt numFmtId="12" formatCode="&quot;$&quot;#,##0.00_);[Red]\(&quot;$&quot;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ABCF6B-F62E-4CEF-876F-C6703C2CB05B}" name="Table1" displayName="Table1" ref="A1:K68" totalsRowCount="1">
  <autoFilter ref="A1:K67" xr:uid="{9EABCF6B-F62E-4CEF-876F-C6703C2CB05B}"/>
  <sortState xmlns:xlrd2="http://schemas.microsoft.com/office/spreadsheetml/2017/richdata2" ref="A2:K67">
    <sortCondition ref="A1:A67"/>
  </sortState>
  <tableColumns count="11">
    <tableColumn id="1" xr3:uid="{19AD007C-1126-4725-8EDE-A12F24968DA4}" name="Subassembly" totalsRowLabel="Total"/>
    <tableColumn id="2" xr3:uid="{51FB1722-BECC-4E2B-9DE0-3B6289D22CCB}" name="Category"/>
    <tableColumn id="3" xr3:uid="{3F936F54-9C17-413F-9E9B-EB050C4288F3}" name="Part"/>
    <tableColumn id="4" xr3:uid="{F908DBC4-BCC2-4B86-B1D6-463B1D56DC4A}" name="Specifications"/>
    <tableColumn id="5" xr3:uid="{D8A62A5C-A05A-467F-A909-1256057F5C5C}" name="Quantity" totalsRowFunction="sum"/>
    <tableColumn id="6" xr3:uid="{C01426BE-D444-4E9C-8A97-05D91017513B}" name="Unit Cost" dataDxfId="0"/>
    <tableColumn id="7" xr3:uid="{A2118BAA-B64A-45C7-B265-AFB973C8A0D7}" name="Total Cost" totalsRowFunction="sum" dataDxfId="1" totalsRowDxfId="2">
      <calculatedColumnFormula>Table1[[#This Row],[Quantity]]*Table1[[#This Row],[Unit Cost]]</calculatedColumnFormula>
    </tableColumn>
    <tableColumn id="9" xr3:uid="{D26373DB-73A3-4E01-AC20-0E5AC661DFD9}" name="LCSC"/>
    <tableColumn id="10" xr3:uid="{1ED687E2-6F87-4D9F-BDE5-20B1FB5FDEB3}" name="Source"/>
    <tableColumn id="11" xr3:uid="{14D8AD5C-E1EA-4822-9581-44AA15F6EAD7}" name="Link"/>
    <tableColumn id="12" xr3:uid="{D116C178-A7D5-4D1F-944C-89E3C8F67DC9}" name="Notes" totalsRowFunction="cou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yperactive.xyz/products/nice-view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www.alibaba.com/product-detail/VEICHU-VCN310-311-New-Stainless-Steel_1601020185379.html" TargetMode="External"/><Relationship Id="rId7" Type="http://schemas.openxmlformats.org/officeDocument/2006/relationships/hyperlink" Target="https://a.co/d/0cnfUvY7" TargetMode="External"/><Relationship Id="rId12" Type="http://schemas.openxmlformats.org/officeDocument/2006/relationships/hyperlink" Target="https://mou.sr/4pp1IeD" TargetMode="External"/><Relationship Id="rId2" Type="http://schemas.openxmlformats.org/officeDocument/2006/relationships/hyperlink" Target="https://www.alibaba.com/product-detail/Fool-proof-Customizable-2-12-Pin_1601813292668.html" TargetMode="External"/><Relationship Id="rId1" Type="http://schemas.openxmlformats.org/officeDocument/2006/relationships/hyperlink" Target="https://www.aliexpress.us/item/3256806932453023.html" TargetMode="External"/><Relationship Id="rId6" Type="http://schemas.openxmlformats.org/officeDocument/2006/relationships/hyperlink" Target="https://a.co/d/02MneUm9" TargetMode="External"/><Relationship Id="rId11" Type="http://schemas.openxmlformats.org/officeDocument/2006/relationships/hyperlink" Target="https://mou.sr/4vZcLxN" TargetMode="External"/><Relationship Id="rId5" Type="http://schemas.openxmlformats.org/officeDocument/2006/relationships/hyperlink" Target="https://3dkeycap.com/products/mx-chicago-steno-keycap-set?variant=46916802117890" TargetMode="External"/><Relationship Id="rId10" Type="http://schemas.openxmlformats.org/officeDocument/2006/relationships/hyperlink" Target="https://mou.sr/4pa7teo" TargetMode="External"/><Relationship Id="rId4" Type="http://schemas.openxmlformats.org/officeDocument/2006/relationships/hyperlink" Target="https://a.co/d/06izoJGP" TargetMode="External"/><Relationship Id="rId9" Type="http://schemas.openxmlformats.org/officeDocument/2006/relationships/hyperlink" Target="https://a.co/d/0cJAZBI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71132-6C41-404D-9956-FBB395F69D1A}">
  <dimension ref="A1:K68"/>
  <sheetViews>
    <sheetView tabSelected="1" workbookViewId="0">
      <selection activeCell="F2" sqref="F2"/>
    </sheetView>
  </sheetViews>
  <sheetFormatPr defaultRowHeight="15.75" x14ac:dyDescent="0.3"/>
  <cols>
    <col min="1" max="1" width="14.109375" bestFit="1" customWidth="1"/>
    <col min="2" max="2" width="11" bestFit="1" customWidth="1"/>
    <col min="3" max="3" width="30.5546875" bestFit="1" customWidth="1"/>
    <col min="4" max="4" width="38.77734375" bestFit="1" customWidth="1"/>
    <col min="5" max="5" width="10.77734375" bestFit="1" customWidth="1"/>
    <col min="6" max="6" width="11.77734375" bestFit="1" customWidth="1"/>
    <col min="7" max="7" width="12.77734375" bestFit="1" customWidth="1"/>
    <col min="8" max="8" width="10" bestFit="1" customWidth="1"/>
    <col min="9" max="9" width="12" bestFit="1" customWidth="1"/>
    <col min="10" max="10" width="26.5546875" customWidth="1"/>
    <col min="11" max="11" width="54.218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143</v>
      </c>
    </row>
    <row r="2" spans="1:11" x14ac:dyDescent="0.3">
      <c r="A2" t="s">
        <v>13</v>
      </c>
      <c r="B2" t="s">
        <v>10</v>
      </c>
      <c r="C2" t="s">
        <v>82</v>
      </c>
      <c r="D2" t="s">
        <v>145</v>
      </c>
      <c r="E2">
        <v>6</v>
      </c>
      <c r="F2" s="4"/>
      <c r="G2" s="1">
        <f>Table1[[#This Row],[Quantity]]*Table1[[#This Row],[Unit Cost]]</f>
        <v>0</v>
      </c>
      <c r="H2" t="s">
        <v>144</v>
      </c>
      <c r="I2" t="s">
        <v>12</v>
      </c>
      <c r="J2" s="3" t="s">
        <v>146</v>
      </c>
    </row>
    <row r="3" spans="1:11" x14ac:dyDescent="0.3">
      <c r="A3" t="s">
        <v>13</v>
      </c>
      <c r="B3" t="s">
        <v>10</v>
      </c>
      <c r="C3" t="s">
        <v>81</v>
      </c>
      <c r="D3" t="s">
        <v>80</v>
      </c>
      <c r="E3">
        <v>2</v>
      </c>
      <c r="F3" s="4">
        <v>0.11</v>
      </c>
      <c r="G3" s="1">
        <f>Table1[[#This Row],[Quantity]]*Table1[[#This Row],[Unit Cost]]</f>
        <v>0.22</v>
      </c>
      <c r="H3" t="s">
        <v>147</v>
      </c>
      <c r="I3" t="s">
        <v>12</v>
      </c>
      <c r="J3" s="3" t="s">
        <v>148</v>
      </c>
    </row>
    <row r="4" spans="1:11" x14ac:dyDescent="0.3">
      <c r="A4" t="s">
        <v>13</v>
      </c>
      <c r="B4" t="s">
        <v>10</v>
      </c>
      <c r="C4" t="s">
        <v>56</v>
      </c>
      <c r="E4">
        <v>2</v>
      </c>
      <c r="F4" s="4"/>
      <c r="G4" s="1">
        <f>Table1[[#This Row],[Quantity]]*Table1[[#This Row],[Unit Cost]]</f>
        <v>0</v>
      </c>
      <c r="I4" t="s">
        <v>12</v>
      </c>
    </row>
    <row r="5" spans="1:11" x14ac:dyDescent="0.3">
      <c r="A5" t="s">
        <v>13</v>
      </c>
      <c r="B5" t="s">
        <v>10</v>
      </c>
      <c r="C5" t="s">
        <v>79</v>
      </c>
      <c r="D5" t="s">
        <v>80</v>
      </c>
      <c r="E5">
        <v>2</v>
      </c>
      <c r="F5" s="4"/>
      <c r="G5" s="1">
        <f>Table1[[#This Row],[Quantity]]*Table1[[#This Row],[Unit Cost]]</f>
        <v>0</v>
      </c>
      <c r="I5" t="s">
        <v>12</v>
      </c>
    </row>
    <row r="6" spans="1:11" x14ac:dyDescent="0.3">
      <c r="A6" t="s">
        <v>13</v>
      </c>
      <c r="B6" t="s">
        <v>10</v>
      </c>
      <c r="C6" t="s">
        <v>14</v>
      </c>
      <c r="D6" t="s">
        <v>15</v>
      </c>
      <c r="E6">
        <v>1</v>
      </c>
      <c r="F6" s="4">
        <v>3.52</v>
      </c>
      <c r="G6" s="1">
        <f>Table1[[#This Row],[Quantity]]*Table1[[#This Row],[Unit Cost]]</f>
        <v>3.52</v>
      </c>
      <c r="I6" t="s">
        <v>16</v>
      </c>
      <c r="J6" s="3" t="s">
        <v>124</v>
      </c>
    </row>
    <row r="7" spans="1:11" x14ac:dyDescent="0.3">
      <c r="A7" t="s">
        <v>13</v>
      </c>
      <c r="B7" t="s">
        <v>10</v>
      </c>
      <c r="C7" t="s">
        <v>59</v>
      </c>
      <c r="D7" t="s">
        <v>63</v>
      </c>
      <c r="E7">
        <v>2</v>
      </c>
      <c r="F7" s="4">
        <v>1.97</v>
      </c>
      <c r="G7" s="1">
        <f>Table1[[#This Row],[Quantity]]*Table1[[#This Row],[Unit Cost]]</f>
        <v>3.94</v>
      </c>
      <c r="I7" t="s">
        <v>21</v>
      </c>
    </row>
    <row r="8" spans="1:11" x14ac:dyDescent="0.3">
      <c r="A8" t="s">
        <v>20</v>
      </c>
      <c r="B8" t="s">
        <v>10</v>
      </c>
      <c r="C8" t="s">
        <v>93</v>
      </c>
      <c r="D8" t="s">
        <v>94</v>
      </c>
      <c r="E8">
        <v>1</v>
      </c>
      <c r="F8" s="4"/>
      <c r="G8" s="1">
        <f>Table1[[#This Row],[Quantity]]*Table1[[#This Row],[Unit Cost]]</f>
        <v>0</v>
      </c>
      <c r="I8" t="s">
        <v>12</v>
      </c>
    </row>
    <row r="9" spans="1:11" x14ac:dyDescent="0.3">
      <c r="A9" t="s">
        <v>20</v>
      </c>
      <c r="B9" t="s">
        <v>10</v>
      </c>
      <c r="C9" t="s">
        <v>52</v>
      </c>
      <c r="D9" t="s">
        <v>90</v>
      </c>
      <c r="E9">
        <v>2</v>
      </c>
      <c r="F9" s="4"/>
      <c r="G9" s="1">
        <f>Table1[[#This Row],[Quantity]]*Table1[[#This Row],[Unit Cost]]</f>
        <v>0</v>
      </c>
      <c r="I9" t="s">
        <v>12</v>
      </c>
    </row>
    <row r="10" spans="1:11" x14ac:dyDescent="0.3">
      <c r="A10" t="s">
        <v>20</v>
      </c>
      <c r="B10" t="s">
        <v>10</v>
      </c>
      <c r="C10" t="s">
        <v>56</v>
      </c>
      <c r="E10">
        <v>8</v>
      </c>
      <c r="F10" s="4"/>
      <c r="G10" s="1">
        <f>Table1[[#This Row],[Quantity]]*Table1[[#This Row],[Unit Cost]]</f>
        <v>0</v>
      </c>
      <c r="I10" t="s">
        <v>12</v>
      </c>
    </row>
    <row r="11" spans="1:11" x14ac:dyDescent="0.3">
      <c r="A11" t="s">
        <v>20</v>
      </c>
      <c r="B11" t="s">
        <v>10</v>
      </c>
      <c r="C11" t="s">
        <v>83</v>
      </c>
      <c r="D11" t="s">
        <v>86</v>
      </c>
      <c r="E11">
        <v>1</v>
      </c>
      <c r="F11" s="4"/>
      <c r="G11" s="1">
        <f>Table1[[#This Row],[Quantity]]*Table1[[#This Row],[Unit Cost]]</f>
        <v>0</v>
      </c>
      <c r="I11" t="s">
        <v>12</v>
      </c>
      <c r="K11" t="s">
        <v>87</v>
      </c>
    </row>
    <row r="12" spans="1:11" x14ac:dyDescent="0.3">
      <c r="A12" t="s">
        <v>20</v>
      </c>
      <c r="B12" t="s">
        <v>10</v>
      </c>
      <c r="C12" t="s">
        <v>83</v>
      </c>
      <c r="D12" t="s">
        <v>84</v>
      </c>
      <c r="E12">
        <v>1</v>
      </c>
      <c r="F12" s="4"/>
      <c r="G12" s="1">
        <f>Table1[[#This Row],[Quantity]]*Table1[[#This Row],[Unit Cost]]</f>
        <v>0</v>
      </c>
      <c r="I12" t="s">
        <v>12</v>
      </c>
      <c r="K12" t="s">
        <v>85</v>
      </c>
    </row>
    <row r="13" spans="1:11" x14ac:dyDescent="0.3">
      <c r="A13" t="s">
        <v>20</v>
      </c>
      <c r="B13" t="s">
        <v>10</v>
      </c>
      <c r="C13" t="s">
        <v>23</v>
      </c>
      <c r="D13" t="s">
        <v>24</v>
      </c>
      <c r="E13">
        <v>1</v>
      </c>
      <c r="F13" s="4">
        <v>9.11</v>
      </c>
      <c r="G13" s="1">
        <f>Table1[[#This Row],[Quantity]]*Table1[[#This Row],[Unit Cost]]</f>
        <v>9.11</v>
      </c>
      <c r="I13" t="s">
        <v>12</v>
      </c>
      <c r="J13" s="3" t="s">
        <v>25</v>
      </c>
    </row>
    <row r="14" spans="1:11" x14ac:dyDescent="0.3">
      <c r="A14" t="s">
        <v>20</v>
      </c>
      <c r="B14" t="s">
        <v>10</v>
      </c>
      <c r="C14" t="s">
        <v>98</v>
      </c>
      <c r="D14" t="s">
        <v>99</v>
      </c>
      <c r="E14">
        <v>1</v>
      </c>
      <c r="F14" s="4"/>
      <c r="G14" s="1">
        <f>Table1[[#This Row],[Quantity]]*Table1[[#This Row],[Unit Cost]]</f>
        <v>0</v>
      </c>
      <c r="I14" t="s">
        <v>12</v>
      </c>
    </row>
    <row r="15" spans="1:11" x14ac:dyDescent="0.3">
      <c r="A15" t="s">
        <v>20</v>
      </c>
      <c r="B15" t="s">
        <v>10</v>
      </c>
      <c r="C15" t="s">
        <v>59</v>
      </c>
      <c r="D15" t="s">
        <v>64</v>
      </c>
      <c r="E15">
        <v>1</v>
      </c>
      <c r="F15" s="4">
        <v>5.45</v>
      </c>
      <c r="G15" s="1">
        <f>Table1[[#This Row],[Quantity]]*Table1[[#This Row],[Unit Cost]]</f>
        <v>5.45</v>
      </c>
      <c r="I15" t="s">
        <v>21</v>
      </c>
    </row>
    <row r="16" spans="1:11" x14ac:dyDescent="0.3">
      <c r="A16" t="s">
        <v>20</v>
      </c>
      <c r="B16" t="s">
        <v>10</v>
      </c>
      <c r="C16" t="s">
        <v>53</v>
      </c>
      <c r="D16" t="s">
        <v>95</v>
      </c>
      <c r="E16">
        <v>1</v>
      </c>
      <c r="F16" s="4"/>
      <c r="G16" s="1">
        <f>Table1[[#This Row],[Quantity]]*Table1[[#This Row],[Unit Cost]]</f>
        <v>0</v>
      </c>
      <c r="I16" t="s">
        <v>12</v>
      </c>
    </row>
    <row r="17" spans="1:11" x14ac:dyDescent="0.3">
      <c r="A17" t="s">
        <v>20</v>
      </c>
      <c r="B17" t="s">
        <v>10</v>
      </c>
      <c r="C17" t="s">
        <v>53</v>
      </c>
      <c r="D17" t="s">
        <v>92</v>
      </c>
      <c r="E17">
        <v>1</v>
      </c>
      <c r="F17" s="4"/>
      <c r="G17" s="1">
        <f>Table1[[#This Row],[Quantity]]*Table1[[#This Row],[Unit Cost]]</f>
        <v>0</v>
      </c>
      <c r="I17" t="s">
        <v>12</v>
      </c>
    </row>
    <row r="18" spans="1:11" x14ac:dyDescent="0.3">
      <c r="A18" t="s">
        <v>20</v>
      </c>
      <c r="B18" t="s">
        <v>10</v>
      </c>
      <c r="C18" t="s">
        <v>53</v>
      </c>
      <c r="D18" t="s">
        <v>75</v>
      </c>
      <c r="E18">
        <v>1</v>
      </c>
      <c r="F18" s="4"/>
      <c r="G18" s="1">
        <f>Table1[[#This Row],[Quantity]]*Table1[[#This Row],[Unit Cost]]</f>
        <v>0</v>
      </c>
      <c r="I18" t="s">
        <v>12</v>
      </c>
    </row>
    <row r="19" spans="1:11" x14ac:dyDescent="0.3">
      <c r="A19" t="s">
        <v>20</v>
      </c>
      <c r="B19" t="s">
        <v>10</v>
      </c>
      <c r="C19" t="s">
        <v>53</v>
      </c>
      <c r="D19" t="s">
        <v>91</v>
      </c>
      <c r="E19">
        <v>1</v>
      </c>
      <c r="F19" s="4"/>
      <c r="G19" s="1">
        <f>Table1[[#This Row],[Quantity]]*Table1[[#This Row],[Unit Cost]]</f>
        <v>0</v>
      </c>
      <c r="I19" t="s">
        <v>12</v>
      </c>
    </row>
    <row r="20" spans="1:11" x14ac:dyDescent="0.3">
      <c r="A20" t="s">
        <v>20</v>
      </c>
      <c r="B20" t="s">
        <v>10</v>
      </c>
      <c r="C20" t="s">
        <v>53</v>
      </c>
      <c r="D20" t="s">
        <v>88</v>
      </c>
      <c r="E20">
        <v>1</v>
      </c>
      <c r="F20" s="4"/>
      <c r="G20" s="1">
        <f>Table1[[#This Row],[Quantity]]*Table1[[#This Row],[Unit Cost]]</f>
        <v>0</v>
      </c>
      <c r="I20" t="s">
        <v>12</v>
      </c>
    </row>
    <row r="21" spans="1:11" x14ac:dyDescent="0.3">
      <c r="A21" t="s">
        <v>20</v>
      </c>
      <c r="B21" t="s">
        <v>10</v>
      </c>
      <c r="C21" t="s">
        <v>96</v>
      </c>
      <c r="D21" t="s">
        <v>97</v>
      </c>
      <c r="E21">
        <v>1</v>
      </c>
      <c r="F21" s="4"/>
      <c r="G21" s="1">
        <f>Table1[[#This Row],[Quantity]]*Table1[[#This Row],[Unit Cost]]</f>
        <v>0</v>
      </c>
      <c r="I21" t="s">
        <v>12</v>
      </c>
    </row>
    <row r="22" spans="1:11" x14ac:dyDescent="0.3">
      <c r="A22" t="s">
        <v>20</v>
      </c>
      <c r="B22" t="s">
        <v>10</v>
      </c>
      <c r="C22" t="s">
        <v>66</v>
      </c>
      <c r="D22" t="s">
        <v>119</v>
      </c>
      <c r="E22">
        <v>1</v>
      </c>
      <c r="F22" s="4"/>
      <c r="G22" s="1">
        <f>Table1[[#This Row],[Quantity]]*Table1[[#This Row],[Unit Cost]]</f>
        <v>0</v>
      </c>
      <c r="H22" t="s">
        <v>89</v>
      </c>
      <c r="I22" t="s">
        <v>12</v>
      </c>
    </row>
    <row r="23" spans="1:11" x14ac:dyDescent="0.3">
      <c r="A23" t="s">
        <v>39</v>
      </c>
      <c r="B23" t="s">
        <v>37</v>
      </c>
      <c r="C23" t="s">
        <v>48</v>
      </c>
      <c r="D23" t="s">
        <v>62</v>
      </c>
      <c r="E23">
        <v>8</v>
      </c>
      <c r="F23" s="4"/>
      <c r="G23" s="1">
        <f>Table1[[#This Row],[Quantity]]*Table1[[#This Row],[Unit Cost]]</f>
        <v>0</v>
      </c>
      <c r="I23" t="s">
        <v>12</v>
      </c>
      <c r="K23" t="s">
        <v>61</v>
      </c>
    </row>
    <row r="24" spans="1:11" x14ac:dyDescent="0.3">
      <c r="A24" t="s">
        <v>39</v>
      </c>
      <c r="B24" t="s">
        <v>37</v>
      </c>
      <c r="C24" t="s">
        <v>39</v>
      </c>
      <c r="D24" t="s">
        <v>142</v>
      </c>
      <c r="E24">
        <v>2</v>
      </c>
      <c r="F24" s="4">
        <v>4.5599999999999996</v>
      </c>
      <c r="G24" s="1">
        <f>Table1[[#This Row],[Quantity]]*Table1[[#This Row],[Unit Cost]]</f>
        <v>9.1199999999999992</v>
      </c>
      <c r="I24" t="s">
        <v>38</v>
      </c>
      <c r="K24" t="s">
        <v>141</v>
      </c>
    </row>
    <row r="25" spans="1:11" x14ac:dyDescent="0.3">
      <c r="A25" t="s">
        <v>22</v>
      </c>
      <c r="B25" t="s">
        <v>10</v>
      </c>
      <c r="C25" t="s">
        <v>102</v>
      </c>
      <c r="D25" t="s">
        <v>103</v>
      </c>
      <c r="E25">
        <v>1</v>
      </c>
      <c r="F25" s="4"/>
      <c r="G25" s="1">
        <f>Table1[[#This Row],[Quantity]]*Table1[[#This Row],[Unit Cost]]</f>
        <v>0</v>
      </c>
      <c r="I25" t="s">
        <v>12</v>
      </c>
    </row>
    <row r="26" spans="1:11" x14ac:dyDescent="0.3">
      <c r="A26" t="s">
        <v>22</v>
      </c>
      <c r="B26" t="s">
        <v>10</v>
      </c>
      <c r="C26" t="s">
        <v>57</v>
      </c>
      <c r="D26" t="s">
        <v>108</v>
      </c>
      <c r="E26">
        <v>44</v>
      </c>
      <c r="F26" s="4"/>
      <c r="G26" s="1">
        <f>Table1[[#This Row],[Quantity]]*Table1[[#This Row],[Unit Cost]]</f>
        <v>0</v>
      </c>
      <c r="I26" t="s">
        <v>12</v>
      </c>
    </row>
    <row r="27" spans="1:11" x14ac:dyDescent="0.3">
      <c r="A27" t="s">
        <v>22</v>
      </c>
      <c r="B27" t="s">
        <v>10</v>
      </c>
      <c r="C27" t="s">
        <v>81</v>
      </c>
      <c r="D27">
        <v>1206</v>
      </c>
      <c r="E27">
        <v>1</v>
      </c>
      <c r="F27" s="4"/>
      <c r="G27" s="1">
        <f>Table1[[#This Row],[Quantity]]*Table1[[#This Row],[Unit Cost]]</f>
        <v>0</v>
      </c>
      <c r="I27" t="s">
        <v>12</v>
      </c>
    </row>
    <row r="28" spans="1:11" x14ac:dyDescent="0.3">
      <c r="A28" t="s">
        <v>22</v>
      </c>
      <c r="B28" t="s">
        <v>10</v>
      </c>
      <c r="C28" t="s">
        <v>79</v>
      </c>
      <c r="D28">
        <v>1206</v>
      </c>
      <c r="E28">
        <v>1</v>
      </c>
      <c r="F28" s="4"/>
      <c r="G28" s="1">
        <f>Table1[[#This Row],[Quantity]]*Table1[[#This Row],[Unit Cost]]</f>
        <v>0</v>
      </c>
      <c r="I28" t="s">
        <v>12</v>
      </c>
    </row>
    <row r="29" spans="1:11" x14ac:dyDescent="0.3">
      <c r="A29" t="s">
        <v>22</v>
      </c>
      <c r="B29" t="s">
        <v>10</v>
      </c>
      <c r="C29" t="s">
        <v>129</v>
      </c>
      <c r="E29">
        <v>44</v>
      </c>
      <c r="F29" s="4">
        <v>0.14000000000000001</v>
      </c>
      <c r="G29" s="1">
        <f>Table1[[#This Row],[Quantity]]*Table1[[#This Row],[Unit Cost]]</f>
        <v>6.16</v>
      </c>
      <c r="I29" t="s">
        <v>18</v>
      </c>
      <c r="J29" s="3" t="s">
        <v>26</v>
      </c>
    </row>
    <row r="30" spans="1:11" x14ac:dyDescent="0.3">
      <c r="A30" t="s">
        <v>22</v>
      </c>
      <c r="B30" t="s">
        <v>10</v>
      </c>
      <c r="C30" t="s">
        <v>100</v>
      </c>
      <c r="D30" t="s">
        <v>101</v>
      </c>
      <c r="E30">
        <v>2</v>
      </c>
      <c r="F30" s="4"/>
      <c r="G30" s="1">
        <f>Table1[[#This Row],[Quantity]]*Table1[[#This Row],[Unit Cost]]</f>
        <v>0</v>
      </c>
      <c r="I30" t="s">
        <v>12</v>
      </c>
    </row>
    <row r="31" spans="1:11" x14ac:dyDescent="0.3">
      <c r="A31" t="s">
        <v>22</v>
      </c>
      <c r="B31" t="s">
        <v>10</v>
      </c>
      <c r="C31" t="s">
        <v>117</v>
      </c>
      <c r="D31" t="s">
        <v>118</v>
      </c>
      <c r="E31">
        <v>1</v>
      </c>
      <c r="F31" s="4">
        <v>0.76</v>
      </c>
      <c r="G31" s="1">
        <f>Table1[[#This Row],[Quantity]]*Table1[[#This Row],[Unit Cost]]</f>
        <v>0.76</v>
      </c>
      <c r="I31" t="s">
        <v>12</v>
      </c>
    </row>
    <row r="32" spans="1:11" x14ac:dyDescent="0.3">
      <c r="A32" t="s">
        <v>22</v>
      </c>
      <c r="B32" t="s">
        <v>10</v>
      </c>
      <c r="C32" t="s">
        <v>59</v>
      </c>
      <c r="D32" t="s">
        <v>65</v>
      </c>
      <c r="E32">
        <v>1</v>
      </c>
      <c r="F32" s="4">
        <v>5.13</v>
      </c>
      <c r="G32" s="1">
        <f>Table1[[#This Row],[Quantity]]*Table1[[#This Row],[Unit Cost]]</f>
        <v>5.13</v>
      </c>
      <c r="I32" t="s">
        <v>21</v>
      </c>
    </row>
    <row r="33" spans="1:10" x14ac:dyDescent="0.3">
      <c r="A33" t="s">
        <v>22</v>
      </c>
      <c r="B33" t="s">
        <v>10</v>
      </c>
      <c r="C33" t="s">
        <v>53</v>
      </c>
      <c r="D33" t="s">
        <v>107</v>
      </c>
      <c r="E33">
        <v>12</v>
      </c>
      <c r="F33" s="4"/>
      <c r="G33" s="1">
        <f>Table1[[#This Row],[Quantity]]*Table1[[#This Row],[Unit Cost]]</f>
        <v>0</v>
      </c>
      <c r="I33" t="s">
        <v>12</v>
      </c>
    </row>
    <row r="34" spans="1:10" x14ac:dyDescent="0.3">
      <c r="A34" t="s">
        <v>22</v>
      </c>
      <c r="B34" t="s">
        <v>10</v>
      </c>
      <c r="C34" t="s">
        <v>53</v>
      </c>
      <c r="D34" t="s">
        <v>122</v>
      </c>
      <c r="E34">
        <v>1</v>
      </c>
      <c r="F34" s="4"/>
      <c r="G34" s="1">
        <f>Table1[[#This Row],[Quantity]]*Table1[[#This Row],[Unit Cost]]</f>
        <v>0</v>
      </c>
      <c r="I34" t="s">
        <v>12</v>
      </c>
    </row>
    <row r="35" spans="1:10" x14ac:dyDescent="0.3">
      <c r="A35" t="s">
        <v>22</v>
      </c>
      <c r="B35" t="s">
        <v>10</v>
      </c>
      <c r="C35" t="s">
        <v>53</v>
      </c>
      <c r="D35" t="s">
        <v>121</v>
      </c>
      <c r="E35">
        <v>1</v>
      </c>
      <c r="F35" s="4"/>
      <c r="G35" s="1">
        <f>Table1[[#This Row],[Quantity]]*Table1[[#This Row],[Unit Cost]]</f>
        <v>0</v>
      </c>
      <c r="I35" t="s">
        <v>12</v>
      </c>
    </row>
    <row r="36" spans="1:10" x14ac:dyDescent="0.3">
      <c r="A36" t="s">
        <v>22</v>
      </c>
      <c r="B36" t="s">
        <v>10</v>
      </c>
      <c r="C36" t="s">
        <v>53</v>
      </c>
      <c r="D36" t="s">
        <v>120</v>
      </c>
      <c r="E36">
        <v>1</v>
      </c>
      <c r="F36" s="4"/>
      <c r="G36" s="1">
        <f>Table1[[#This Row],[Quantity]]*Table1[[#This Row],[Unit Cost]]</f>
        <v>0</v>
      </c>
      <c r="I36" t="s">
        <v>12</v>
      </c>
    </row>
    <row r="37" spans="1:10" x14ac:dyDescent="0.3">
      <c r="A37" t="s">
        <v>22</v>
      </c>
      <c r="B37" t="s">
        <v>10</v>
      </c>
      <c r="C37" t="s">
        <v>53</v>
      </c>
      <c r="D37" t="s">
        <v>106</v>
      </c>
      <c r="E37">
        <v>2</v>
      </c>
      <c r="F37" s="4"/>
      <c r="G37" s="1">
        <f>Table1[[#This Row],[Quantity]]*Table1[[#This Row],[Unit Cost]]</f>
        <v>0</v>
      </c>
      <c r="I37" t="s">
        <v>12</v>
      </c>
    </row>
    <row r="38" spans="1:10" x14ac:dyDescent="0.3">
      <c r="A38" t="s">
        <v>22</v>
      </c>
      <c r="B38" t="s">
        <v>10</v>
      </c>
      <c r="C38" t="s">
        <v>104</v>
      </c>
      <c r="D38" t="s">
        <v>105</v>
      </c>
      <c r="E38">
        <v>1</v>
      </c>
      <c r="F38" s="4"/>
      <c r="G38" s="1">
        <f>Table1[[#This Row],[Quantity]]*Table1[[#This Row],[Unit Cost]]</f>
        <v>0</v>
      </c>
      <c r="I38" t="s">
        <v>12</v>
      </c>
    </row>
    <row r="39" spans="1:10" x14ac:dyDescent="0.3">
      <c r="A39" t="s">
        <v>28</v>
      </c>
      <c r="B39" t="s">
        <v>10</v>
      </c>
      <c r="C39" t="s">
        <v>56</v>
      </c>
      <c r="E39">
        <v>1</v>
      </c>
      <c r="F39" s="4"/>
      <c r="G39" s="1">
        <f>Table1[[#This Row],[Quantity]]*Table1[[#This Row],[Unit Cost]]</f>
        <v>0</v>
      </c>
      <c r="I39" t="s">
        <v>12</v>
      </c>
    </row>
    <row r="40" spans="1:10" x14ac:dyDescent="0.3">
      <c r="A40" t="s">
        <v>28</v>
      </c>
      <c r="B40" t="s">
        <v>10</v>
      </c>
      <c r="C40" t="s">
        <v>28</v>
      </c>
      <c r="D40" t="s">
        <v>29</v>
      </c>
      <c r="E40">
        <v>1</v>
      </c>
      <c r="F40" s="4">
        <v>20</v>
      </c>
      <c r="G40" s="1">
        <f>Table1[[#This Row],[Quantity]]*Table1[[#This Row],[Unit Cost]]</f>
        <v>20</v>
      </c>
      <c r="I40" t="s">
        <v>30</v>
      </c>
      <c r="J40" s="3" t="s">
        <v>31</v>
      </c>
    </row>
    <row r="41" spans="1:10" x14ac:dyDescent="0.3">
      <c r="A41" t="s">
        <v>28</v>
      </c>
      <c r="B41" t="s">
        <v>10</v>
      </c>
      <c r="C41" t="s">
        <v>36</v>
      </c>
      <c r="E41">
        <v>1</v>
      </c>
      <c r="F41" s="4">
        <v>0.66</v>
      </c>
      <c r="G41" s="1">
        <f>Table1[[#This Row],[Quantity]]*Table1[[#This Row],[Unit Cost]]</f>
        <v>0.66</v>
      </c>
      <c r="I41" t="s">
        <v>21</v>
      </c>
    </row>
    <row r="42" spans="1:10" x14ac:dyDescent="0.3">
      <c r="A42" t="s">
        <v>32</v>
      </c>
      <c r="B42" t="s">
        <v>10</v>
      </c>
      <c r="C42" t="s">
        <v>52</v>
      </c>
      <c r="D42" t="s">
        <v>109</v>
      </c>
      <c r="E42">
        <v>2</v>
      </c>
      <c r="F42" s="4"/>
      <c r="G42" s="1">
        <f>Table1[[#This Row],[Quantity]]*Table1[[#This Row],[Unit Cost]]</f>
        <v>0</v>
      </c>
      <c r="I42" t="s">
        <v>12</v>
      </c>
    </row>
    <row r="43" spans="1:10" x14ac:dyDescent="0.3">
      <c r="A43" t="s">
        <v>32</v>
      </c>
      <c r="B43" t="s">
        <v>10</v>
      </c>
      <c r="C43" t="s">
        <v>52</v>
      </c>
      <c r="D43" t="s">
        <v>110</v>
      </c>
      <c r="E43">
        <v>6</v>
      </c>
      <c r="F43" s="4"/>
      <c r="G43" s="1">
        <f>Table1[[#This Row],[Quantity]]*Table1[[#This Row],[Unit Cost]]</f>
        <v>0</v>
      </c>
      <c r="H43" t="s">
        <v>68</v>
      </c>
      <c r="I43" t="s">
        <v>12</v>
      </c>
    </row>
    <row r="44" spans="1:10" x14ac:dyDescent="0.3">
      <c r="A44" t="s">
        <v>32</v>
      </c>
      <c r="B44" t="s">
        <v>10</v>
      </c>
      <c r="C44" t="s">
        <v>52</v>
      </c>
      <c r="D44" t="s">
        <v>112</v>
      </c>
      <c r="E44">
        <v>2</v>
      </c>
      <c r="F44" s="4"/>
      <c r="G44" s="1">
        <f>Table1[[#This Row],[Quantity]]*Table1[[#This Row],[Unit Cost]]</f>
        <v>0</v>
      </c>
      <c r="I44" t="s">
        <v>12</v>
      </c>
    </row>
    <row r="45" spans="1:10" x14ac:dyDescent="0.3">
      <c r="A45" t="s">
        <v>32</v>
      </c>
      <c r="B45" t="s">
        <v>10</v>
      </c>
      <c r="C45" t="s">
        <v>52</v>
      </c>
      <c r="D45" t="s">
        <v>111</v>
      </c>
      <c r="E45">
        <v>2</v>
      </c>
      <c r="F45" s="4"/>
      <c r="G45" s="1">
        <f>Table1[[#This Row],[Quantity]]*Table1[[#This Row],[Unit Cost]]</f>
        <v>0</v>
      </c>
      <c r="H45" t="s">
        <v>71</v>
      </c>
      <c r="I45" t="s">
        <v>12</v>
      </c>
    </row>
    <row r="46" spans="1:10" x14ac:dyDescent="0.3">
      <c r="A46" t="s">
        <v>32</v>
      </c>
      <c r="B46" t="s">
        <v>10</v>
      </c>
      <c r="C46" t="s">
        <v>52</v>
      </c>
      <c r="D46" t="s">
        <v>113</v>
      </c>
      <c r="E46">
        <v>2</v>
      </c>
      <c r="F46" s="4"/>
      <c r="G46" s="1">
        <f>Table1[[#This Row],[Quantity]]*Table1[[#This Row],[Unit Cost]]</f>
        <v>0</v>
      </c>
      <c r="I46" t="s">
        <v>12</v>
      </c>
    </row>
    <row r="47" spans="1:10" x14ac:dyDescent="0.3">
      <c r="A47" t="s">
        <v>32</v>
      </c>
      <c r="B47" t="s">
        <v>10</v>
      </c>
      <c r="C47" t="s">
        <v>52</v>
      </c>
      <c r="D47" t="s">
        <v>114</v>
      </c>
      <c r="E47">
        <v>2</v>
      </c>
      <c r="F47" s="4"/>
      <c r="G47" s="1">
        <f>Table1[[#This Row],[Quantity]]*Table1[[#This Row],[Unit Cost]]</f>
        <v>0</v>
      </c>
      <c r="H47" t="s">
        <v>69</v>
      </c>
      <c r="I47" t="s">
        <v>12</v>
      </c>
    </row>
    <row r="48" spans="1:10" x14ac:dyDescent="0.3">
      <c r="A48" t="s">
        <v>32</v>
      </c>
      <c r="B48" t="s">
        <v>10</v>
      </c>
      <c r="C48" t="s">
        <v>52</v>
      </c>
      <c r="D48" t="s">
        <v>115</v>
      </c>
      <c r="E48">
        <v>2</v>
      </c>
      <c r="F48" s="4"/>
      <c r="G48" s="1">
        <f>Table1[[#This Row],[Quantity]]*Table1[[#This Row],[Unit Cost]]</f>
        <v>0</v>
      </c>
      <c r="H48" t="s">
        <v>72</v>
      </c>
      <c r="I48" t="s">
        <v>12</v>
      </c>
    </row>
    <row r="49" spans="1:11" x14ac:dyDescent="0.3">
      <c r="A49" t="s">
        <v>32</v>
      </c>
      <c r="B49" t="s">
        <v>10</v>
      </c>
      <c r="C49" t="s">
        <v>54</v>
      </c>
      <c r="D49" t="s">
        <v>55</v>
      </c>
      <c r="E49">
        <v>2</v>
      </c>
      <c r="F49" s="4"/>
      <c r="G49" s="1">
        <f>Table1[[#This Row],[Quantity]]*Table1[[#This Row],[Unit Cost]]</f>
        <v>0</v>
      </c>
      <c r="H49" t="s">
        <v>73</v>
      </c>
      <c r="I49" t="s">
        <v>12</v>
      </c>
    </row>
    <row r="50" spans="1:11" x14ac:dyDescent="0.3">
      <c r="A50" t="s">
        <v>32</v>
      </c>
      <c r="B50" t="s">
        <v>10</v>
      </c>
      <c r="C50" t="s">
        <v>59</v>
      </c>
      <c r="D50" t="s">
        <v>60</v>
      </c>
      <c r="E50">
        <v>2</v>
      </c>
      <c r="F50" s="4">
        <v>0.63</v>
      </c>
      <c r="G50" s="1">
        <f>Table1[[#This Row],[Quantity]]*Table1[[#This Row],[Unit Cost]]</f>
        <v>1.26</v>
      </c>
      <c r="I50" t="s">
        <v>21</v>
      </c>
    </row>
    <row r="51" spans="1:11" x14ac:dyDescent="0.3">
      <c r="A51" t="s">
        <v>32</v>
      </c>
      <c r="B51" t="s">
        <v>10</v>
      </c>
      <c r="C51" t="s">
        <v>53</v>
      </c>
      <c r="D51" t="s">
        <v>116</v>
      </c>
      <c r="E51">
        <v>2</v>
      </c>
      <c r="F51" s="4"/>
      <c r="G51" s="1">
        <f>Table1[[#This Row],[Quantity]]*Table1[[#This Row],[Unit Cost]]</f>
        <v>0</v>
      </c>
      <c r="H51" t="s">
        <v>70</v>
      </c>
      <c r="I51" t="s">
        <v>12</v>
      </c>
    </row>
    <row r="52" spans="1:11" x14ac:dyDescent="0.3">
      <c r="A52" t="s">
        <v>32</v>
      </c>
      <c r="B52" t="s">
        <v>10</v>
      </c>
      <c r="C52" t="s">
        <v>33</v>
      </c>
      <c r="D52" t="s">
        <v>34</v>
      </c>
      <c r="E52">
        <v>2</v>
      </c>
      <c r="F52" s="4">
        <v>5.9</v>
      </c>
      <c r="G52" s="1">
        <f>Table1[[#This Row],[Quantity]]*Table1[[#This Row],[Unit Cost]]</f>
        <v>11.8</v>
      </c>
      <c r="I52" t="s">
        <v>35</v>
      </c>
      <c r="J52" s="3" t="s">
        <v>123</v>
      </c>
    </row>
    <row r="53" spans="1:11" x14ac:dyDescent="0.3">
      <c r="A53" t="s">
        <v>32</v>
      </c>
      <c r="B53" t="s">
        <v>10</v>
      </c>
      <c r="C53" t="s">
        <v>66</v>
      </c>
      <c r="D53" t="s">
        <v>76</v>
      </c>
      <c r="E53">
        <v>2</v>
      </c>
      <c r="F53" s="4"/>
      <c r="G53" s="1">
        <f>Table1[[#This Row],[Quantity]]*Table1[[#This Row],[Unit Cost]]</f>
        <v>0</v>
      </c>
      <c r="H53" t="s">
        <v>77</v>
      </c>
      <c r="I53" t="s">
        <v>12</v>
      </c>
      <c r="K53" t="s">
        <v>67</v>
      </c>
    </row>
    <row r="54" spans="1:11" x14ac:dyDescent="0.3">
      <c r="B54" t="s">
        <v>10</v>
      </c>
      <c r="C54" t="s">
        <v>17</v>
      </c>
      <c r="D54" s="2" t="s">
        <v>78</v>
      </c>
      <c r="E54">
        <v>1</v>
      </c>
      <c r="F54" s="4">
        <v>7.99</v>
      </c>
      <c r="G54" s="1">
        <f>Table1[[#This Row],[Quantity]]*Table1[[#This Row],[Unit Cost]]</f>
        <v>7.99</v>
      </c>
      <c r="I54" t="s">
        <v>18</v>
      </c>
      <c r="J54" s="3" t="s">
        <v>19</v>
      </c>
    </row>
    <row r="55" spans="1:11" x14ac:dyDescent="0.3">
      <c r="B55" t="s">
        <v>10</v>
      </c>
      <c r="C55" t="s">
        <v>11</v>
      </c>
      <c r="D55" t="s">
        <v>74</v>
      </c>
      <c r="E55">
        <v>7</v>
      </c>
      <c r="F55" s="4"/>
      <c r="G55" s="1">
        <f>Table1[[#This Row],[Quantity]]*Table1[[#This Row],[Unit Cost]]</f>
        <v>0</v>
      </c>
      <c r="I55" t="s">
        <v>12</v>
      </c>
    </row>
    <row r="56" spans="1:11" x14ac:dyDescent="0.3">
      <c r="B56" t="s">
        <v>10</v>
      </c>
      <c r="C56" t="s">
        <v>131</v>
      </c>
      <c r="D56" t="s">
        <v>140</v>
      </c>
      <c r="E56">
        <v>44</v>
      </c>
      <c r="F56" s="4">
        <v>0.39</v>
      </c>
      <c r="G56" s="1">
        <f>Table1[[#This Row],[Quantity]]*Table1[[#This Row],[Unit Cost]]</f>
        <v>17.16</v>
      </c>
      <c r="I56" t="s">
        <v>18</v>
      </c>
      <c r="J56" s="3" t="s">
        <v>27</v>
      </c>
    </row>
    <row r="57" spans="1:11" x14ac:dyDescent="0.3">
      <c r="B57" t="s">
        <v>37</v>
      </c>
      <c r="C57" t="s">
        <v>127</v>
      </c>
      <c r="D57" t="s">
        <v>130</v>
      </c>
      <c r="E57">
        <v>2</v>
      </c>
      <c r="F57" s="4">
        <v>7.42</v>
      </c>
      <c r="G57" s="1">
        <f>Table1[[#This Row],[Quantity]]*Table1[[#This Row],[Unit Cost]]</f>
        <v>14.84</v>
      </c>
      <c r="I57" t="s">
        <v>38</v>
      </c>
    </row>
    <row r="58" spans="1:11" x14ac:dyDescent="0.3">
      <c r="B58" t="s">
        <v>37</v>
      </c>
      <c r="C58" t="s">
        <v>133</v>
      </c>
      <c r="D58" t="s">
        <v>130</v>
      </c>
      <c r="E58">
        <v>1</v>
      </c>
      <c r="F58" s="4">
        <v>21.24</v>
      </c>
      <c r="G58" s="1">
        <f>Table1[[#This Row],[Quantity]]*Table1[[#This Row],[Unit Cost]]</f>
        <v>21.24</v>
      </c>
      <c r="I58" t="s">
        <v>38</v>
      </c>
    </row>
    <row r="59" spans="1:11" x14ac:dyDescent="0.3">
      <c r="B59" t="s">
        <v>37</v>
      </c>
      <c r="C59" t="s">
        <v>132</v>
      </c>
      <c r="D59" t="s">
        <v>130</v>
      </c>
      <c r="E59">
        <v>1</v>
      </c>
      <c r="F59" s="4">
        <v>21.24</v>
      </c>
      <c r="G59" s="1">
        <f>Table1[[#This Row],[Quantity]]*Table1[[#This Row],[Unit Cost]]</f>
        <v>21.24</v>
      </c>
      <c r="I59" t="s">
        <v>38</v>
      </c>
    </row>
    <row r="60" spans="1:11" x14ac:dyDescent="0.3">
      <c r="B60" t="s">
        <v>37</v>
      </c>
      <c r="C60" t="s">
        <v>58</v>
      </c>
      <c r="D60" t="s">
        <v>139</v>
      </c>
      <c r="E60">
        <v>32</v>
      </c>
      <c r="F60" s="4"/>
      <c r="G60" s="1">
        <f>Table1[[#This Row],[Quantity]]*Table1[[#This Row],[Unit Cost]]</f>
        <v>0</v>
      </c>
      <c r="I60" t="s">
        <v>18</v>
      </c>
    </row>
    <row r="61" spans="1:11" x14ac:dyDescent="0.3">
      <c r="B61" t="s">
        <v>37</v>
      </c>
      <c r="C61" t="s">
        <v>136</v>
      </c>
      <c r="D61" t="s">
        <v>137</v>
      </c>
      <c r="E61">
        <v>26</v>
      </c>
      <c r="F61" s="4"/>
      <c r="G61" s="1">
        <f>Table1[[#This Row],[Quantity]]*Table1[[#This Row],[Unit Cost]]</f>
        <v>0</v>
      </c>
      <c r="I61" t="s">
        <v>18</v>
      </c>
    </row>
    <row r="62" spans="1:11" x14ac:dyDescent="0.3">
      <c r="B62" t="s">
        <v>37</v>
      </c>
      <c r="C62" t="s">
        <v>136</v>
      </c>
      <c r="D62" t="s">
        <v>138</v>
      </c>
      <c r="E62">
        <v>6</v>
      </c>
      <c r="F62" s="4"/>
      <c r="G62" s="1">
        <f>Table1[[#This Row],[Quantity]]*Table1[[#This Row],[Unit Cost]]</f>
        <v>0</v>
      </c>
      <c r="I62" t="s">
        <v>18</v>
      </c>
    </row>
    <row r="63" spans="1:11" x14ac:dyDescent="0.3">
      <c r="B63" t="s">
        <v>37</v>
      </c>
      <c r="C63" t="s">
        <v>134</v>
      </c>
      <c r="D63" t="s">
        <v>135</v>
      </c>
      <c r="E63">
        <v>4</v>
      </c>
      <c r="F63" s="4"/>
      <c r="G63" s="1">
        <f>Table1[[#This Row],[Quantity]]*Table1[[#This Row],[Unit Cost]]</f>
        <v>0</v>
      </c>
      <c r="I63" t="s">
        <v>18</v>
      </c>
    </row>
    <row r="64" spans="1:11" x14ac:dyDescent="0.3">
      <c r="B64" t="s">
        <v>37</v>
      </c>
      <c r="C64" t="s">
        <v>128</v>
      </c>
      <c r="D64" t="s">
        <v>126</v>
      </c>
      <c r="E64">
        <v>2</v>
      </c>
      <c r="F64" s="4">
        <v>3.45</v>
      </c>
      <c r="G64" s="1">
        <f>Table1[[#This Row],[Quantity]]*Table1[[#This Row],[Unit Cost]]</f>
        <v>6.9</v>
      </c>
      <c r="I64" t="s">
        <v>40</v>
      </c>
    </row>
    <row r="65" spans="1:11" x14ac:dyDescent="0.3">
      <c r="B65" t="s">
        <v>37</v>
      </c>
      <c r="C65" t="s">
        <v>41</v>
      </c>
      <c r="E65">
        <v>4</v>
      </c>
      <c r="F65" s="4">
        <v>1.21</v>
      </c>
      <c r="G65" s="1">
        <f>Table1[[#This Row],[Quantity]]*Table1[[#This Row],[Unit Cost]]</f>
        <v>4.84</v>
      </c>
      <c r="I65" t="s">
        <v>16</v>
      </c>
      <c r="J65" s="3" t="s">
        <v>125</v>
      </c>
    </row>
    <row r="66" spans="1:11" x14ac:dyDescent="0.3">
      <c r="B66" t="s">
        <v>42</v>
      </c>
      <c r="C66" t="s">
        <v>44</v>
      </c>
      <c r="E66">
        <v>44</v>
      </c>
      <c r="F66" s="4">
        <v>2.64</v>
      </c>
      <c r="G66" s="1">
        <f>Table1[[#This Row],[Quantity]]*Table1[[#This Row],[Unit Cost]]</f>
        <v>116.16000000000001</v>
      </c>
      <c r="I66" t="s">
        <v>45</v>
      </c>
      <c r="J66" s="3" t="s">
        <v>46</v>
      </c>
      <c r="K66" t="s">
        <v>47</v>
      </c>
    </row>
    <row r="67" spans="1:11" x14ac:dyDescent="0.3">
      <c r="B67" t="s">
        <v>42</v>
      </c>
      <c r="C67" t="s">
        <v>49</v>
      </c>
      <c r="D67" t="s">
        <v>50</v>
      </c>
      <c r="E67">
        <v>1</v>
      </c>
      <c r="F67" s="4">
        <v>11.99</v>
      </c>
      <c r="G67" s="1">
        <f>Table1[[#This Row],[Quantity]]*Table1[[#This Row],[Unit Cost]]</f>
        <v>11.99</v>
      </c>
      <c r="I67" t="s">
        <v>18</v>
      </c>
      <c r="J67" s="3" t="s">
        <v>43</v>
      </c>
    </row>
    <row r="68" spans="1:11" x14ac:dyDescent="0.3">
      <c r="A68" t="s">
        <v>51</v>
      </c>
      <c r="E68">
        <f>SUBTOTAL(109,Table1[Quantity])</f>
        <v>367</v>
      </c>
      <c r="G68" s="1">
        <f>SUBTOTAL(109,Table1[Total Cost])</f>
        <v>299.49</v>
      </c>
      <c r="K68">
        <f>SUBTOTAL(103,Table1[Notes])</f>
        <v>6</v>
      </c>
    </row>
  </sheetData>
  <hyperlinks>
    <hyperlink ref="J52" r:id="rId1" xr:uid="{3EF80975-0ADC-4121-AC6E-F0D6F27192AF}"/>
    <hyperlink ref="J6" r:id="rId2" xr:uid="{9D497DA8-6AE2-4348-9482-BF079C45DDC8}"/>
    <hyperlink ref="J65" r:id="rId3" xr:uid="{5F713AD3-EE79-419E-86E4-410E314D82F6}"/>
    <hyperlink ref="J67" r:id="rId4" xr:uid="{B7FD5679-CB48-466D-AC82-40D5B164DF30}"/>
    <hyperlink ref="J66" r:id="rId5" xr:uid="{BC1A73A8-5824-49FD-9174-AC378356EF75}"/>
    <hyperlink ref="J56" r:id="rId6" xr:uid="{CE4DA7E2-CFEB-44CB-9C47-C6720CD408C4}"/>
    <hyperlink ref="J54" r:id="rId7" xr:uid="{273FF093-11C5-4FEC-A9B0-EACAB5AB41E3}"/>
    <hyperlink ref="J40" r:id="rId8" xr:uid="{39E26F94-7A88-4F83-A169-50F069C2667C}"/>
    <hyperlink ref="J29" r:id="rId9" xr:uid="{D3FA6702-581A-44C3-A593-C7AFEF91EF0E}"/>
    <hyperlink ref="J13" r:id="rId10" xr:uid="{7939374C-C62A-41FE-BFB5-01DB0961903D}"/>
    <hyperlink ref="J2" r:id="rId11" xr:uid="{6C93B823-D8D6-4956-8486-8EB54F0576CD}"/>
    <hyperlink ref="J3" r:id="rId12" xr:uid="{9F4FC012-F15E-4DF1-8D14-068E8537BF00}"/>
  </hyperlinks>
  <pageMargins left="0.7" right="0.7" top="0.75" bottom="0.75" header="0.3" footer="0.3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Lucas</dc:creator>
  <cp:lastModifiedBy>Joshua Lucas</cp:lastModifiedBy>
  <dcterms:created xsi:type="dcterms:W3CDTF">2026-07-10T15:22:46Z</dcterms:created>
  <dcterms:modified xsi:type="dcterms:W3CDTF">2026-07-10T20:29:01Z</dcterms:modified>
</cp:coreProperties>
</file>