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07b9eabef3a75/Repositories/androphage/doc/"/>
    </mc:Choice>
  </mc:AlternateContent>
  <xr:revisionPtr revIDLastSave="170" documentId="13_ncr:1_{80A6E519-0331-4A1D-8CAF-BF25CB7DC384}" xr6:coauthVersionLast="47" xr6:coauthVersionMax="47" xr10:uidLastSave="{7B73F323-892E-46E9-8BBF-5B6639DE6465}"/>
  <bookViews>
    <workbookView xWindow="38280" yWindow="-120" windowWidth="38640" windowHeight="21120" xr2:uid="{8DB1EDA4-4242-4AFC-9D80-17DA06623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1" l="1"/>
  <c r="L14" i="1" s="1"/>
  <c r="D61" i="1"/>
  <c r="C61" i="1"/>
  <c r="I61" i="1"/>
  <c r="H61" i="1"/>
  <c r="G61" i="1"/>
  <c r="F61" i="1"/>
  <c r="E61" i="1"/>
  <c r="J4" i="1"/>
  <c r="J20" i="1"/>
  <c r="J33" i="1"/>
  <c r="J34" i="1"/>
  <c r="J36" i="1"/>
  <c r="J38" i="1"/>
  <c r="J22" i="1"/>
  <c r="J25" i="1"/>
  <c r="J39" i="1"/>
  <c r="J42" i="1"/>
  <c r="J43" i="1"/>
  <c r="J44" i="1"/>
  <c r="J46" i="1"/>
  <c r="J47" i="1"/>
  <c r="J48" i="1"/>
  <c r="J53" i="1"/>
  <c r="J54" i="1"/>
  <c r="J55" i="1"/>
  <c r="J58" i="1"/>
  <c r="J18" i="1"/>
  <c r="J24" i="1"/>
  <c r="J8" i="1"/>
  <c r="J21" i="1"/>
  <c r="J26" i="1"/>
  <c r="J32" i="1"/>
  <c r="J40" i="1"/>
  <c r="J41" i="1"/>
  <c r="J45" i="1"/>
  <c r="J49" i="1"/>
  <c r="J50" i="1"/>
  <c r="J51" i="1"/>
  <c r="J52" i="1"/>
  <c r="J56" i="1"/>
  <c r="J23" i="1"/>
  <c r="J60" i="1"/>
  <c r="J5" i="1"/>
  <c r="J19" i="1"/>
  <c r="J27" i="1"/>
  <c r="J28" i="1"/>
  <c r="J29" i="1"/>
  <c r="J30" i="1"/>
  <c r="J31" i="1"/>
  <c r="J37" i="1"/>
  <c r="J57" i="1"/>
  <c r="J2" i="1"/>
  <c r="J3" i="1"/>
  <c r="J6" i="1"/>
  <c r="J7" i="1"/>
  <c r="J9" i="1"/>
  <c r="J10" i="1"/>
  <c r="J12" i="1"/>
  <c r="J11" i="1"/>
  <c r="J13" i="1"/>
  <c r="J15" i="1"/>
  <c r="J16" i="1"/>
  <c r="J17" i="1"/>
  <c r="J35" i="1"/>
  <c r="J59" i="1"/>
  <c r="A61" i="1" l="1"/>
  <c r="L11" i="1"/>
  <c r="L10" i="1"/>
  <c r="L17" i="1"/>
  <c r="L49" i="1"/>
  <c r="L50" i="1"/>
  <c r="L51" i="1"/>
  <c r="L52" i="1"/>
  <c r="L56" i="1"/>
  <c r="L26" i="1"/>
  <c r="L45" i="1"/>
  <c r="L40" i="1"/>
  <c r="L44" i="1"/>
  <c r="L55" i="1"/>
  <c r="L46" i="1"/>
  <c r="L25" i="1"/>
  <c r="L47" i="1"/>
  <c r="L53" i="1"/>
  <c r="L58" i="1"/>
  <c r="L48" i="1"/>
  <c r="L54" i="1"/>
  <c r="L42" i="1"/>
  <c r="L43" i="1"/>
  <c r="L33" i="1"/>
  <c r="L34" i="1"/>
  <c r="L38" i="1"/>
  <c r="L36" i="1"/>
  <c r="L23" i="1"/>
  <c r="L29" i="1"/>
  <c r="L31" i="1"/>
  <c r="L30" i="1"/>
  <c r="L27" i="1"/>
  <c r="L28" i="1"/>
  <c r="L57" i="1"/>
  <c r="L5" i="1"/>
  <c r="L37" i="1"/>
  <c r="L19" i="1"/>
  <c r="L6" i="1"/>
  <c r="L35" i="1"/>
  <c r="L9" i="1"/>
  <c r="L15" i="1"/>
  <c r="L16" i="1"/>
  <c r="L7" i="1"/>
  <c r="L12" i="1"/>
  <c r="L59" i="1"/>
  <c r="L3" i="1"/>
  <c r="L2" i="1"/>
  <c r="L13" i="1"/>
  <c r="L20" i="1"/>
  <c r="L22" i="1"/>
  <c r="L39" i="1"/>
  <c r="L24" i="1"/>
  <c r="L18" i="1"/>
  <c r="L32" i="1"/>
  <c r="L8" i="1"/>
  <c r="L41" i="1"/>
  <c r="L21" i="1"/>
  <c r="L60" i="1"/>
  <c r="L4" i="1"/>
  <c r="J61" i="1"/>
  <c r="L61" i="1" l="1"/>
</calcChain>
</file>

<file path=xl/sharedStrings.xml><?xml version="1.0" encoding="utf-8"?>
<sst xmlns="http://schemas.openxmlformats.org/spreadsheetml/2006/main" count="266" uniqueCount="210">
  <si>
    <t>Part</t>
  </si>
  <si>
    <t>Specifications</t>
  </si>
  <si>
    <t>Quantity</t>
  </si>
  <si>
    <t>Unit Cost</t>
  </si>
  <si>
    <t>Total Cost</t>
  </si>
  <si>
    <t>Source</t>
  </si>
  <si>
    <t>Link</t>
  </si>
  <si>
    <t>FPC cable</t>
  </si>
  <si>
    <t>Mouser</t>
  </si>
  <si>
    <t>Connector PCB</t>
  </si>
  <si>
    <t>Magnetic pogo pin connector</t>
  </si>
  <si>
    <t>pair, 12-pin</t>
  </si>
  <si>
    <t>AliBaba</t>
  </si>
  <si>
    <t>Battery</t>
  </si>
  <si>
    <t>Amazon</t>
  </si>
  <si>
    <t>https://a.co/d/0cnfUvY7</t>
  </si>
  <si>
    <t>Control PCB</t>
  </si>
  <si>
    <t>JLCPCB</t>
  </si>
  <si>
    <t>Matrix PCB</t>
  </si>
  <si>
    <t>https://mou.sr/4pa7teo</t>
  </si>
  <si>
    <t>https://a.co/d/0cJAZBIr</t>
  </si>
  <si>
    <t>https://a.co/d/02MneUm9</t>
  </si>
  <si>
    <t>Screen</t>
  </si>
  <si>
    <t>nice!view</t>
  </si>
  <si>
    <t>Typeractive</t>
  </si>
  <si>
    <t>https://typeractive.xyz/products/nice-view</t>
  </si>
  <si>
    <t>Sensor PCB</t>
  </si>
  <si>
    <t>Trackball Sensor</t>
  </si>
  <si>
    <t>PMW-3610DM-SUDU</t>
  </si>
  <si>
    <t>AliExpress</t>
  </si>
  <si>
    <t>VIK nice!nano adapter PCB</t>
  </si>
  <si>
    <t>CraftCloud</t>
  </si>
  <si>
    <t>Hinge</t>
  </si>
  <si>
    <t>SendCutSend</t>
  </si>
  <si>
    <t>https://a.co/d/06izoJGP</t>
  </si>
  <si>
    <t>Keycap set</t>
  </si>
  <si>
    <t>3dKeycap</t>
  </si>
  <si>
    <t>https://3dkeycap.com/products/mx-chicago-steno-keycap-set?variant=46916802117890</t>
  </si>
  <si>
    <t>Minimum 2 R1, 10 R2, 10 R3, 10 R4, 6/4 R5, 6/8 thumb</t>
  </si>
  <si>
    <t>Trackball</t>
  </si>
  <si>
    <t xml:space="preserve">34-35 mm </t>
  </si>
  <si>
    <t>FPC Connector</t>
  </si>
  <si>
    <t>Diode</t>
  </si>
  <si>
    <t>Heat-set insert</t>
  </si>
  <si>
    <t>PCB</t>
  </si>
  <si>
    <t>VIK PMW3610-narrow</t>
  </si>
  <si>
    <t>VIK Magnetic Connector, pair</t>
  </si>
  <si>
    <t>Control, pair</t>
  </si>
  <si>
    <t>Matrix, pair</t>
  </si>
  <si>
    <t>Voltage Regulator</t>
  </si>
  <si>
    <t>1.8V 200mA output</t>
  </si>
  <si>
    <t>C14663</t>
  </si>
  <si>
    <t>C15849</t>
  </si>
  <si>
    <t>C57112</t>
  </si>
  <si>
    <t>C51412</t>
  </si>
  <si>
    <t>C5213732</t>
  </si>
  <si>
    <t>Type A, 0.5mm pitch, 12-pin, [Length]</t>
  </si>
  <si>
    <t>C146366</t>
  </si>
  <si>
    <t>401230</t>
  </si>
  <si>
    <t>Fuse</t>
  </si>
  <si>
    <t>Ferrite Bead</t>
  </si>
  <si>
    <t>ESD Protection Diode Array</t>
  </si>
  <si>
    <t>SWD connector</t>
  </si>
  <si>
    <t>Battery connector</t>
  </si>
  <si>
    <t>Battery charger</t>
  </si>
  <si>
    <t>Schottky diode</t>
  </si>
  <si>
    <t>MOSFET</t>
  </si>
  <si>
    <t>I/O Expander</t>
  </si>
  <si>
    <t>Button Switch</t>
  </si>
  <si>
    <t>USB-C receptacle</t>
  </si>
  <si>
    <t>LED ARGB</t>
  </si>
  <si>
    <t>https://www.aliexpress.us/item/3256806932453023.html</t>
  </si>
  <si>
    <t>https://www.alibaba.com/product-detail/Fool-proof-Customizable-2-12-Pin_1601813292668.html</t>
  </si>
  <si>
    <t>https://www.alibaba.com/product-detail/VEICHU-VCN310-311-New-Stainless-Steel_1601020185379.html</t>
  </si>
  <si>
    <t>Acrylic</t>
  </si>
  <si>
    <t>Bottom Plate</t>
  </si>
  <si>
    <t>Switch Plate</t>
  </si>
  <si>
    <t>Hot-swap socket</t>
  </si>
  <si>
    <t>SLS Nylon</t>
  </si>
  <si>
    <t>Key switch</t>
  </si>
  <si>
    <t>Magnet</t>
  </si>
  <si>
    <t>4x2 round</t>
  </si>
  <si>
    <t>Screw</t>
  </si>
  <si>
    <t>M2, countersink, 7mm</t>
  </si>
  <si>
    <t>M2, round, 4mm</t>
  </si>
  <si>
    <t>M2, brass</t>
  </si>
  <si>
    <t>Kailh Choc V1/V2, Gateron KS-33</t>
  </si>
  <si>
    <t>Set of 4 leaves, unit cost for 20</t>
  </si>
  <si>
    <t>SLM 316 stainless steel</t>
  </si>
  <si>
    <t>Notes</t>
  </si>
  <si>
    <t>C2688137</t>
  </si>
  <si>
    <t>https://mou.sr/4vZcLxN</t>
  </si>
  <si>
    <t>https://mou.sr/4pp1IeD</t>
  </si>
  <si>
    <t>5/0</t>
  </si>
  <si>
    <t>FPC connector, mini</t>
  </si>
  <si>
    <t>C2833485</t>
  </si>
  <si>
    <t>C46550600</t>
  </si>
  <si>
    <t>https://mou.sr/4wNFIwF</t>
  </si>
  <si>
    <t>https://mou.sr/3RcmbXu</t>
  </si>
  <si>
    <t>C2906115</t>
  </si>
  <si>
    <t>https://mou.sr/4ylZUXY</t>
  </si>
  <si>
    <t>https://mou.sr/3QXacgq</t>
  </si>
  <si>
    <t>C38066</t>
  </si>
  <si>
    <t>Molex Picoblade Connector, 2 pin</t>
  </si>
  <si>
    <t>Molex Picoblade Connector, 4 pin</t>
  </si>
  <si>
    <t>https://mou.sr/4yl9kTn</t>
  </si>
  <si>
    <t>C122410</t>
  </si>
  <si>
    <t>C17617036</t>
  </si>
  <si>
    <t>https://mou.sr/4feluoj</t>
  </si>
  <si>
    <t>C82360</t>
  </si>
  <si>
    <t>C191023</t>
  </si>
  <si>
    <t>https://mou.sr/4wFoi4W</t>
  </si>
  <si>
    <t>C17703066</t>
  </si>
  <si>
    <t>C2845297</t>
  </si>
  <si>
    <t>https://mou.sr/3RBnNdt</t>
  </si>
  <si>
    <t>C917030</t>
  </si>
  <si>
    <t>Switch matrix diode</t>
  </si>
  <si>
    <t>C506653</t>
  </si>
  <si>
    <t>https://mou.sr/4piFMBM</t>
  </si>
  <si>
    <t>https://mou.sr/4h7FKe0</t>
  </si>
  <si>
    <t>C2992675</t>
  </si>
  <si>
    <t>https://mou.sr/4hdeuuC</t>
  </si>
  <si>
    <t>C5151956</t>
  </si>
  <si>
    <t>https://mou.sr/4wIlUdJ</t>
  </si>
  <si>
    <t>https://mou.sr/4vWF2F0</t>
  </si>
  <si>
    <t>https://mou.sr/4wdXjxJ</t>
  </si>
  <si>
    <t>https://mou.sr/4fAjXuf</t>
  </si>
  <si>
    <t>https://mou.sr/3T05u20</t>
  </si>
  <si>
    <t>https://mou.sr/4f0LeWy</t>
  </si>
  <si>
    <t>https://mou.sr/4f3aewt</t>
  </si>
  <si>
    <t>https://mou.sr/4hdepqP</t>
  </si>
  <si>
    <t>https://mou.sr/4ydr1UW</t>
  </si>
  <si>
    <t>https://mou.sr/4wGJ2JJ</t>
  </si>
  <si>
    <t>https://mou.sr/452zhd3</t>
  </si>
  <si>
    <t>https://mou.sr/4hevIrr</t>
  </si>
  <si>
    <t>McMaster</t>
  </si>
  <si>
    <t>https://mou.sr/4wMxyEM</t>
  </si>
  <si>
    <t>Capacitor, 10nF</t>
  </si>
  <si>
    <t>Capacitor, 100nF</t>
  </si>
  <si>
    <t>Capacitor, 10uF</t>
  </si>
  <si>
    <t>Capacitor, 1uF</t>
  </si>
  <si>
    <t>Capacitor, 3.3uF</t>
  </si>
  <si>
    <t>https://mou.sr/4yljd3D</t>
  </si>
  <si>
    <t>https://mou.sr/4fzanb4</t>
  </si>
  <si>
    <t>https://mou.sr/4pr6I2A</t>
  </si>
  <si>
    <t>Taper Pin</t>
  </si>
  <si>
    <t>https://www.mcmaster.com/98390A040/</t>
  </si>
  <si>
    <t>https://a.co/d/02Mu1WZn</t>
  </si>
  <si>
    <t>https://a.co/d/0f5MURbA</t>
  </si>
  <si>
    <t>Resistor, 270 Ohm</t>
  </si>
  <si>
    <t>Resistor, 10 kOhm</t>
  </si>
  <si>
    <t>Resistor, 330 Ohm</t>
  </si>
  <si>
    <t>Resistor, 470 Ohm</t>
  </si>
  <si>
    <t>Resistor, 5.1 kOhm</t>
  </si>
  <si>
    <t>Resistor, 2 MOhm</t>
  </si>
  <si>
    <t>Resistor, 100 kOhm</t>
  </si>
  <si>
    <t>Resistor, 2 kOhm</t>
  </si>
  <si>
    <t>Resistor, 8.2 kOhm</t>
  </si>
  <si>
    <t>Resistor, 820 kOhm</t>
  </si>
  <si>
    <t>Case, Right</t>
  </si>
  <si>
    <t>Case, Left</t>
  </si>
  <si>
    <t>https://a.co/d/0gQpGyUt</t>
  </si>
  <si>
    <t>https://a.co/d/04It1t0C</t>
  </si>
  <si>
    <t>https://mou.sr/4pkxr0t</t>
  </si>
  <si>
    <t>BTU</t>
  </si>
  <si>
    <t xml:space="preserve">Veichu VCN310 </t>
  </si>
  <si>
    <t>Holyiot 18010 MCU module</t>
  </si>
  <si>
    <t>https://mou.sr/454Uz9S</t>
  </si>
  <si>
    <t>https://mou.sr/44q3UJg</t>
  </si>
  <si>
    <t>Other</t>
  </si>
  <si>
    <t>LCSC Part #</t>
  </si>
  <si>
    <t>Mouser Part #</t>
  </si>
  <si>
    <t xml:space="preserve">579-MCP73832T-2ACIOT </t>
  </si>
  <si>
    <t xml:space="preserve">179-TS046643BK160SMT </t>
  </si>
  <si>
    <t xml:space="preserve">187-CL21B104KBFNNNG </t>
  </si>
  <si>
    <t xml:space="preserve">187-CL21B103KBANNNC </t>
  </si>
  <si>
    <t xml:space="preserve">187-CL21B106KQQNNNF </t>
  </si>
  <si>
    <t xml:space="preserve">187-CL21B105KBFNFNE </t>
  </si>
  <si>
    <t xml:space="preserve">187-CL21B335KOQVPNE </t>
  </si>
  <si>
    <t xml:space="preserve">241-1N4148W_R1_00001 </t>
  </si>
  <si>
    <t xml:space="preserve">947-RCLAMP0504FBTCT </t>
  </si>
  <si>
    <t xml:space="preserve">875-MI0805K601R-10 </t>
  </si>
  <si>
    <t xml:space="preserve">640-512A0101A4064T </t>
  </si>
  <si>
    <t xml:space="preserve">640-FFC2B35-12-G </t>
  </si>
  <si>
    <t xml:space="preserve">640-FFC2B28-12-G </t>
  </si>
  <si>
    <t xml:space="preserve">652-MF-PSMF050X-2 </t>
  </si>
  <si>
    <t xml:space="preserve">713-113990556 </t>
  </si>
  <si>
    <t xml:space="preserve">579-MCP23017-E/SS </t>
  </si>
  <si>
    <t xml:space="preserve">604-APFA3010SEKJ3ZGK </t>
  </si>
  <si>
    <t xml:space="preserve">538-53398-0271 </t>
  </si>
  <si>
    <t xml:space="preserve">538-53398-0471 </t>
  </si>
  <si>
    <t xml:space="preserve">241-PJA3401AR100001 </t>
  </si>
  <si>
    <t>https://mou.sr/4flJENZ</t>
  </si>
  <si>
    <t xml:space="preserve">603-RC0805FR-0710KL </t>
  </si>
  <si>
    <t xml:space="preserve">603-RC0805FR-07100KL </t>
  </si>
  <si>
    <t xml:space="preserve">603-RC0805FR-072KL </t>
  </si>
  <si>
    <t xml:space="preserve">603-RC0805FR-072ML </t>
  </si>
  <si>
    <t xml:space="preserve">603-RC0805FR-07270RL </t>
  </si>
  <si>
    <t xml:space="preserve">603-RC0805FR-07330RL </t>
  </si>
  <si>
    <t>603-RC0805FR-07470RL</t>
  </si>
  <si>
    <t xml:space="preserve">603-RC0805FR-075K1L </t>
  </si>
  <si>
    <t xml:space="preserve">603-RC0805FR-078K2L </t>
  </si>
  <si>
    <t xml:space="preserve">603-RC0805FR-07820KL </t>
  </si>
  <si>
    <t xml:space="preserve">621-1N5819HW-F </t>
  </si>
  <si>
    <t xml:space="preserve">640-USB4930-00-A </t>
  </si>
  <si>
    <t xml:space="preserve">595-TLV75733PDYDR </t>
  </si>
  <si>
    <t xml:space="preserve">757-TCR2EF19LMCT </t>
  </si>
  <si>
    <t>O-Ring</t>
  </si>
  <si>
    <t>150 mm x 3.5 mm</t>
  </si>
  <si>
    <t>https://a.co/d/0eipM3TN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</si>
</sst>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Fira Code"/>
      <family val="2"/>
    </font>
    <font>
      <u/>
      <sz val="11"/>
      <color theme="10"/>
      <name val="Fira Code"/>
      <family val="2"/>
    </font>
    <font>
      <sz val="8"/>
      <name val="Fir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8" fontId="0" fillId="0" borderId="0" xfId="0" applyNumberFormat="1"/>
    <xf numFmtId="0" fontId="0" fillId="0" borderId="0" xfId="0" quotePrefix="1"/>
    <xf numFmtId="0" fontId="1" fillId="0" borderId="0" xfId="1"/>
    <xf numFmtId="164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12" formatCode="&quot;$&quot;#,##0.00_);[Red]\(&quot;$&quot;#,##0.00\)"/>
    </dxf>
    <dxf>
      <numFmt numFmtId="164" formatCode="&quot;$&quot;#,##0.00"/>
    </dxf>
    <dxf>
      <numFmt numFmtId="12" formatCode="&quot;$&quot;#,##0.00_);[Red]\(&quot;$&quot;#,##0.00\)"/>
    </dxf>
    <dxf>
      <numFmt numFmtId="164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BCF6B-F62E-4CEF-876F-C6703C2CB05B}" name="Table1" displayName="Table1" ref="A1:O61" totalsRowCount="1">
  <autoFilter ref="A1:O60" xr:uid="{9EABCF6B-F62E-4CEF-876F-C6703C2CB05B}"/>
  <sortState xmlns:xlrd2="http://schemas.microsoft.com/office/spreadsheetml/2017/richdata2" ref="A2:O60">
    <sortCondition ref="M1:M60"/>
  </sortState>
  <tableColumns count="15">
    <tableColumn id="3" xr3:uid="{3F936F54-9C17-413F-9E9B-EB050C4288F3}" name="Part" totalsRowFunction="count"/>
    <tableColumn id="4" xr3:uid="{F908DBC4-BCC2-4B86-B1D6-463B1D56DC4A}" name="Specifications"/>
    <tableColumn id="18" xr3:uid="{355E3743-8D00-40D6-BAC2-40AE9454E685}" name="Mouser Part #" totalsRowFunction="count"/>
    <tableColumn id="9" xr3:uid="{D26373DB-73A3-4E01-AC20-0E5AC661DFD9}" name="LCSC Part #" totalsRowFunction="count"/>
    <tableColumn id="8" xr3:uid="{A35D6246-0865-4277-A0C0-6AF6598C2F6F}" name="Connector PCB" totalsRowFunction="sum"/>
    <tableColumn id="15" xr3:uid="{41246BED-AB83-451E-8684-015F6EC8EE19}" name="Control PCB" totalsRowFunction="sum"/>
    <tableColumn id="16" xr3:uid="{BF6170BA-E071-495F-96D2-433A6B21C0D6}" name="Matrix PCB" totalsRowFunction="sum"/>
    <tableColumn id="14" xr3:uid="{6CC190F9-F6FC-4EDF-A4C1-063CFD2D8205}" name="Sensor PCB" totalsRowFunction="sum"/>
    <tableColumn id="13" xr3:uid="{C9834941-EC36-4025-89D0-2BC2C632EB84}" name="Other" totalsRowFunction="sum"/>
    <tableColumn id="5" xr3:uid="{D8A62A5C-A05A-467F-A909-1256057F5C5C}" name="Quantity" totalsRowFunction="sum" dataDxfId="4">
      <calculatedColumnFormula>SUM(Table1[[#This Row],[Connector PCB]:[Other]])</calculatedColumnFormula>
    </tableColumn>
    <tableColumn id="6" xr3:uid="{C01426BE-D444-4E9C-8A97-05D91017513B}" name="Unit Cost" dataDxfId="3" totalsRowDxfId="1"/>
    <tableColumn id="7" xr3:uid="{A2118BAA-B64A-45C7-B265-AFB973C8A0D7}" name="Total Cost" totalsRowFunction="sum" dataDxfId="2" totalsRowDxfId="0">
      <calculatedColumnFormula>Table1[[#This Row],[Quantity]]*Table1[[#This Row],[Unit Cost]]</calculatedColumnFormula>
    </tableColumn>
    <tableColumn id="10" xr3:uid="{1ED687E2-6F87-4D9F-BDE5-20B1FB5FDEB3}" name="Source"/>
    <tableColumn id="11" xr3:uid="{14D8AD5C-E1EA-4822-9581-44AA15F6EAD7}" name="Link"/>
    <tableColumn id="12" xr3:uid="{D116C178-A7D5-4D1F-944C-89E3C8F67DC9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ou.sr/3QXacgq" TargetMode="External"/><Relationship Id="rId18" Type="http://schemas.openxmlformats.org/officeDocument/2006/relationships/hyperlink" Target="https://mou.sr/3RBnNdt" TargetMode="External"/><Relationship Id="rId26" Type="http://schemas.openxmlformats.org/officeDocument/2006/relationships/hyperlink" Target="https://mou.sr/4feluoj" TargetMode="External"/><Relationship Id="rId39" Type="http://schemas.openxmlformats.org/officeDocument/2006/relationships/hyperlink" Target="https://mou.sr/4hevIrr" TargetMode="External"/><Relationship Id="rId21" Type="http://schemas.openxmlformats.org/officeDocument/2006/relationships/hyperlink" Target="https://mou.sr/3RcmbXu" TargetMode="External"/><Relationship Id="rId34" Type="http://schemas.openxmlformats.org/officeDocument/2006/relationships/hyperlink" Target="https://mou.sr/4hdepqP" TargetMode="External"/><Relationship Id="rId42" Type="http://schemas.openxmlformats.org/officeDocument/2006/relationships/hyperlink" Target="https://a.co/d/0f5MURbA" TargetMode="External"/><Relationship Id="rId47" Type="http://schemas.openxmlformats.org/officeDocument/2006/relationships/hyperlink" Target="https://mou.sr/44q3UJg" TargetMode="External"/><Relationship Id="rId50" Type="http://schemas.openxmlformats.org/officeDocument/2006/relationships/table" Target="../tables/table1.xml"/><Relationship Id="rId7" Type="http://schemas.openxmlformats.org/officeDocument/2006/relationships/hyperlink" Target="https://a.co/d/0cnfUvY7" TargetMode="External"/><Relationship Id="rId2" Type="http://schemas.openxmlformats.org/officeDocument/2006/relationships/hyperlink" Target="https://www.alibaba.com/product-detail/Fool-proof-Customizable-2-12-Pin_1601813292668.html" TargetMode="External"/><Relationship Id="rId16" Type="http://schemas.openxmlformats.org/officeDocument/2006/relationships/hyperlink" Target="https://mou.sr/4yljd3D" TargetMode="External"/><Relationship Id="rId29" Type="http://schemas.openxmlformats.org/officeDocument/2006/relationships/hyperlink" Target="https://mou.sr/4fAjXuf" TargetMode="External"/><Relationship Id="rId11" Type="http://schemas.openxmlformats.org/officeDocument/2006/relationships/hyperlink" Target="https://mou.sr/4vZcLxN" TargetMode="External"/><Relationship Id="rId24" Type="http://schemas.openxmlformats.org/officeDocument/2006/relationships/hyperlink" Target="https://mou.sr/4h7FKe0" TargetMode="External"/><Relationship Id="rId32" Type="http://schemas.openxmlformats.org/officeDocument/2006/relationships/hyperlink" Target="https://mou.sr/4f3aewt" TargetMode="External"/><Relationship Id="rId37" Type="http://schemas.openxmlformats.org/officeDocument/2006/relationships/hyperlink" Target="https://mou.sr/452zhd3" TargetMode="External"/><Relationship Id="rId40" Type="http://schemas.openxmlformats.org/officeDocument/2006/relationships/hyperlink" Target="https://www.mcmaster.com/98390A040/" TargetMode="External"/><Relationship Id="rId45" Type="http://schemas.openxmlformats.org/officeDocument/2006/relationships/hyperlink" Target="https://mou.sr/4pkxr0t" TargetMode="External"/><Relationship Id="rId5" Type="http://schemas.openxmlformats.org/officeDocument/2006/relationships/hyperlink" Target="https://3dkeycap.com/products/mx-chicago-steno-keycap-set?variant=46916802117890" TargetMode="External"/><Relationship Id="rId15" Type="http://schemas.openxmlformats.org/officeDocument/2006/relationships/hyperlink" Target="https://mou.sr/4fzanb4" TargetMode="External"/><Relationship Id="rId23" Type="http://schemas.openxmlformats.org/officeDocument/2006/relationships/hyperlink" Target="https://mou.sr/4piFMBM" TargetMode="External"/><Relationship Id="rId28" Type="http://schemas.openxmlformats.org/officeDocument/2006/relationships/hyperlink" Target="https://mou.sr/4wdXjxJ" TargetMode="External"/><Relationship Id="rId36" Type="http://schemas.openxmlformats.org/officeDocument/2006/relationships/hyperlink" Target="https://mou.sr/4wGJ2JJ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mou.sr/4pa7teo" TargetMode="External"/><Relationship Id="rId19" Type="http://schemas.openxmlformats.org/officeDocument/2006/relationships/hyperlink" Target="https://mou.sr/4hdeuuC" TargetMode="External"/><Relationship Id="rId31" Type="http://schemas.openxmlformats.org/officeDocument/2006/relationships/hyperlink" Target="https://mou.sr/4f0LeWy" TargetMode="External"/><Relationship Id="rId44" Type="http://schemas.openxmlformats.org/officeDocument/2006/relationships/hyperlink" Target="https://a.co/d/04It1t0C" TargetMode="External"/><Relationship Id="rId4" Type="http://schemas.openxmlformats.org/officeDocument/2006/relationships/hyperlink" Target="https://a.co/d/06izoJGP" TargetMode="External"/><Relationship Id="rId9" Type="http://schemas.openxmlformats.org/officeDocument/2006/relationships/hyperlink" Target="https://a.co/d/0cJAZBIr" TargetMode="External"/><Relationship Id="rId14" Type="http://schemas.openxmlformats.org/officeDocument/2006/relationships/hyperlink" Target="https://mou.sr/4pr6I2A" TargetMode="External"/><Relationship Id="rId22" Type="http://schemas.openxmlformats.org/officeDocument/2006/relationships/hyperlink" Target="https://mou.sr/4ylZUXY" TargetMode="External"/><Relationship Id="rId27" Type="http://schemas.openxmlformats.org/officeDocument/2006/relationships/hyperlink" Target="https://mou.sr/4vWF2F0" TargetMode="External"/><Relationship Id="rId30" Type="http://schemas.openxmlformats.org/officeDocument/2006/relationships/hyperlink" Target="https://mou.sr/3T05u20" TargetMode="External"/><Relationship Id="rId35" Type="http://schemas.openxmlformats.org/officeDocument/2006/relationships/hyperlink" Target="https://mou.sr/4ydr1UW" TargetMode="External"/><Relationship Id="rId43" Type="http://schemas.openxmlformats.org/officeDocument/2006/relationships/hyperlink" Target="https://a.co/d/0gQpGyUt" TargetMode="External"/><Relationship Id="rId48" Type="http://schemas.openxmlformats.org/officeDocument/2006/relationships/hyperlink" Target="https://mou.sr/4flJENZ" TargetMode="External"/><Relationship Id="rId8" Type="http://schemas.openxmlformats.org/officeDocument/2006/relationships/hyperlink" Target="https://typeractive.xyz/products/nice-view" TargetMode="External"/><Relationship Id="rId3" Type="http://schemas.openxmlformats.org/officeDocument/2006/relationships/hyperlink" Target="https://www.alibaba.com/product-detail/VEICHU-VCN310-311-New-Stainless-Steel_1601020185379.html" TargetMode="External"/><Relationship Id="rId12" Type="http://schemas.openxmlformats.org/officeDocument/2006/relationships/hyperlink" Target="https://mou.sr/4pp1IeD" TargetMode="External"/><Relationship Id="rId17" Type="http://schemas.openxmlformats.org/officeDocument/2006/relationships/hyperlink" Target="https://mou.sr/4wMxyEM" TargetMode="External"/><Relationship Id="rId25" Type="http://schemas.openxmlformats.org/officeDocument/2006/relationships/hyperlink" Target="https://mou.sr/4yl9kTn" TargetMode="External"/><Relationship Id="rId33" Type="http://schemas.openxmlformats.org/officeDocument/2006/relationships/hyperlink" Target="https://mou.sr/4wIlUdJ" TargetMode="External"/><Relationship Id="rId38" Type="http://schemas.openxmlformats.org/officeDocument/2006/relationships/hyperlink" Target="https://mou.sr/4wFoi4W" TargetMode="External"/><Relationship Id="rId46" Type="http://schemas.openxmlformats.org/officeDocument/2006/relationships/hyperlink" Target="https://mou.sr/454Uz9S" TargetMode="External"/><Relationship Id="rId20" Type="http://schemas.openxmlformats.org/officeDocument/2006/relationships/hyperlink" Target="https://mou.sr/4wNFIwF" TargetMode="External"/><Relationship Id="rId41" Type="http://schemas.openxmlformats.org/officeDocument/2006/relationships/hyperlink" Target="https://a.co/d/02Mu1WZn" TargetMode="External"/><Relationship Id="rId1" Type="http://schemas.openxmlformats.org/officeDocument/2006/relationships/hyperlink" Target="https://www.aliexpress.us/item/3256806932453023.html" TargetMode="External"/><Relationship Id="rId6" Type="http://schemas.openxmlformats.org/officeDocument/2006/relationships/hyperlink" Target="https://a.co/d/02MneUm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1132-6C41-404D-9956-FBB395F69D1A}">
  <dimension ref="A1:O61"/>
  <sheetViews>
    <sheetView tabSelected="1" workbookViewId="0">
      <selection activeCell="I14" sqref="I14"/>
    </sheetView>
  </sheetViews>
  <sheetFormatPr defaultRowHeight="15.75" x14ac:dyDescent="0.3"/>
  <cols>
    <col min="1" max="1" width="33.6640625" bestFit="1" customWidth="1"/>
    <col min="2" max="2" width="29.5546875" bestFit="1" customWidth="1"/>
    <col min="3" max="3" width="25.44140625" bestFit="1" customWidth="1"/>
    <col min="4" max="4" width="13.77734375" bestFit="1" customWidth="1"/>
    <col min="5" max="5" width="15.88671875" bestFit="1" customWidth="1"/>
    <col min="6" max="6" width="13.77734375" bestFit="1" customWidth="1"/>
    <col min="7" max="8" width="12.77734375" bestFit="1" customWidth="1"/>
    <col min="9" max="9" width="7.77734375" bestFit="1" customWidth="1"/>
    <col min="10" max="10" width="10.77734375" bestFit="1" customWidth="1"/>
    <col min="11" max="11" width="11.77734375" bestFit="1" customWidth="1"/>
    <col min="12" max="12" width="12.77734375" bestFit="1" customWidth="1"/>
    <col min="14" max="14" width="27.21875" customWidth="1"/>
    <col min="15" max="17" width="54.21875" bestFit="1" customWidth="1"/>
  </cols>
  <sheetData>
    <row r="1" spans="1:15" x14ac:dyDescent="0.3">
      <c r="A1" t="s">
        <v>0</v>
      </c>
      <c r="B1" t="s">
        <v>1</v>
      </c>
      <c r="C1" t="s">
        <v>171</v>
      </c>
      <c r="D1" t="s">
        <v>170</v>
      </c>
      <c r="E1" t="s">
        <v>9</v>
      </c>
      <c r="F1" t="s">
        <v>16</v>
      </c>
      <c r="G1" t="s">
        <v>18</v>
      </c>
      <c r="H1" t="s">
        <v>26</v>
      </c>
      <c r="I1" t="s">
        <v>169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89</v>
      </c>
    </row>
    <row r="2" spans="1:15" x14ac:dyDescent="0.3">
      <c r="A2" t="s">
        <v>35</v>
      </c>
      <c r="I2">
        <v>0</v>
      </c>
      <c r="J2">
        <f>SUM(Table1[[#This Row],[Connector PCB]:[Other]])</f>
        <v>0</v>
      </c>
      <c r="K2" s="4">
        <v>2.64</v>
      </c>
      <c r="L2" s="1">
        <f>Table1[[#This Row],[Quantity]]*Table1[[#This Row],[Unit Cost]]</f>
        <v>0</v>
      </c>
      <c r="M2" t="s">
        <v>36</v>
      </c>
      <c r="N2" s="3" t="s">
        <v>37</v>
      </c>
      <c r="O2" t="s">
        <v>38</v>
      </c>
    </row>
    <row r="3" spans="1:15" x14ac:dyDescent="0.3">
      <c r="A3" t="s">
        <v>164</v>
      </c>
      <c r="B3" t="s">
        <v>165</v>
      </c>
      <c r="I3">
        <v>4</v>
      </c>
      <c r="J3">
        <f>SUM(Table1[[#This Row],[Connector PCB]:[Other]])</f>
        <v>4</v>
      </c>
      <c r="K3" s="4">
        <v>1.21</v>
      </c>
      <c r="L3" s="1">
        <f>Table1[[#This Row],[Quantity]]*Table1[[#This Row],[Unit Cost]]</f>
        <v>4.84</v>
      </c>
      <c r="M3" t="s">
        <v>12</v>
      </c>
      <c r="N3" s="3" t="s">
        <v>73</v>
      </c>
    </row>
    <row r="4" spans="1:15" x14ac:dyDescent="0.3">
      <c r="A4" t="s">
        <v>10</v>
      </c>
      <c r="B4" t="s">
        <v>11</v>
      </c>
      <c r="E4">
        <v>1</v>
      </c>
      <c r="J4">
        <f>SUM(Table1[[#This Row],[Connector PCB]:[Other]])</f>
        <v>1</v>
      </c>
      <c r="K4" s="4">
        <v>3.52</v>
      </c>
      <c r="L4" s="1">
        <f>Table1[[#This Row],[Quantity]]*Table1[[#This Row],[Unit Cost]]</f>
        <v>3.52</v>
      </c>
      <c r="M4" t="s">
        <v>12</v>
      </c>
      <c r="N4" s="3" t="s">
        <v>72</v>
      </c>
    </row>
    <row r="5" spans="1:15" x14ac:dyDescent="0.3">
      <c r="A5" t="s">
        <v>27</v>
      </c>
      <c r="B5" t="s">
        <v>28</v>
      </c>
      <c r="H5">
        <v>2</v>
      </c>
      <c r="J5">
        <f>SUM(Table1[[#This Row],[Connector PCB]:[Other]])</f>
        <v>2</v>
      </c>
      <c r="K5" s="4">
        <v>5.9</v>
      </c>
      <c r="L5" s="1">
        <f>Table1[[#This Row],[Quantity]]*Table1[[#This Row],[Unit Cost]]</f>
        <v>11.8</v>
      </c>
      <c r="M5" t="s">
        <v>29</v>
      </c>
      <c r="N5" s="3" t="s">
        <v>71</v>
      </c>
    </row>
    <row r="6" spans="1:15" x14ac:dyDescent="0.3">
      <c r="A6" t="s">
        <v>13</v>
      </c>
      <c r="B6" s="2" t="s">
        <v>58</v>
      </c>
      <c r="C6" s="2"/>
      <c r="E6" s="2"/>
      <c r="F6" s="2"/>
      <c r="G6" s="2"/>
      <c r="H6" s="2"/>
      <c r="I6">
        <v>1</v>
      </c>
      <c r="J6">
        <f>SUM(Table1[[#This Row],[Connector PCB]:[Other]])</f>
        <v>1</v>
      </c>
      <c r="K6" s="4">
        <v>7.99</v>
      </c>
      <c r="L6" s="1">
        <f>Table1[[#This Row],[Quantity]]*Table1[[#This Row],[Unit Cost]]</f>
        <v>7.99</v>
      </c>
      <c r="M6" t="s">
        <v>14</v>
      </c>
      <c r="N6" s="3" t="s">
        <v>15</v>
      </c>
    </row>
    <row r="7" spans="1:15" x14ac:dyDescent="0.3">
      <c r="A7" t="s">
        <v>43</v>
      </c>
      <c r="B7" t="s">
        <v>85</v>
      </c>
      <c r="I7">
        <v>32</v>
      </c>
      <c r="J7">
        <f>SUM(Table1[[#This Row],[Connector PCB]:[Other]])</f>
        <v>32</v>
      </c>
      <c r="K7" s="4">
        <v>0.04</v>
      </c>
      <c r="L7" s="1">
        <f>Table1[[#This Row],[Quantity]]*Table1[[#This Row],[Unit Cost]]</f>
        <v>1.28</v>
      </c>
      <c r="M7" t="s">
        <v>14</v>
      </c>
      <c r="N7" s="3" t="s">
        <v>148</v>
      </c>
    </row>
    <row r="8" spans="1:15" x14ac:dyDescent="0.3">
      <c r="A8" t="s">
        <v>77</v>
      </c>
      <c r="G8">
        <v>44</v>
      </c>
      <c r="J8">
        <f>SUM(Table1[[#This Row],[Connector PCB]:[Other]])</f>
        <v>44</v>
      </c>
      <c r="K8" s="4">
        <v>0.14000000000000001</v>
      </c>
      <c r="L8" s="1">
        <f>Table1[[#This Row],[Quantity]]*Table1[[#This Row],[Unit Cost]]</f>
        <v>6.16</v>
      </c>
      <c r="M8" t="s">
        <v>14</v>
      </c>
      <c r="N8" s="3" t="s">
        <v>20</v>
      </c>
    </row>
    <row r="9" spans="1:15" x14ac:dyDescent="0.3">
      <c r="A9" t="s">
        <v>79</v>
      </c>
      <c r="I9">
        <v>0</v>
      </c>
      <c r="J9">
        <f>SUM(Table1[[#This Row],[Connector PCB]:[Other]])</f>
        <v>0</v>
      </c>
      <c r="K9" s="4">
        <v>0.39</v>
      </c>
      <c r="L9" s="1">
        <f>Table1[[#This Row],[Quantity]]*Table1[[#This Row],[Unit Cost]]</f>
        <v>0</v>
      </c>
      <c r="M9" t="s">
        <v>14</v>
      </c>
      <c r="N9" s="3" t="s">
        <v>21</v>
      </c>
      <c r="O9" t="s">
        <v>86</v>
      </c>
    </row>
    <row r="10" spans="1:15" x14ac:dyDescent="0.3">
      <c r="A10" t="s">
        <v>80</v>
      </c>
      <c r="B10" t="s">
        <v>81</v>
      </c>
      <c r="I10">
        <v>4</v>
      </c>
      <c r="J10">
        <f>SUM(Table1[[#This Row],[Connector PCB]:[Other]])</f>
        <v>4</v>
      </c>
      <c r="K10" s="4">
        <v>0.03</v>
      </c>
      <c r="L10" s="1">
        <f>Table1[[#This Row],[Quantity]]*Table1[[#This Row],[Unit Cost]]</f>
        <v>0.12</v>
      </c>
      <c r="M10" t="s">
        <v>14</v>
      </c>
      <c r="N10" s="3" t="s">
        <v>147</v>
      </c>
    </row>
    <row r="11" spans="1:15" x14ac:dyDescent="0.3">
      <c r="A11" t="s">
        <v>82</v>
      </c>
      <c r="B11" t="s">
        <v>84</v>
      </c>
      <c r="I11">
        <v>6</v>
      </c>
      <c r="J11">
        <f>SUM(Table1[[#This Row],[Connector PCB]:[Other]])</f>
        <v>6</v>
      </c>
      <c r="K11" s="4">
        <v>0.06</v>
      </c>
      <c r="L11" s="1">
        <f>Table1[[#This Row],[Quantity]]*Table1[[#This Row],[Unit Cost]]</f>
        <v>0.36</v>
      </c>
      <c r="M11" t="s">
        <v>14</v>
      </c>
      <c r="N11" s="3" t="s">
        <v>162</v>
      </c>
    </row>
    <row r="12" spans="1:15" x14ac:dyDescent="0.3">
      <c r="A12" t="s">
        <v>82</v>
      </c>
      <c r="B12" t="s">
        <v>83</v>
      </c>
      <c r="I12">
        <v>26</v>
      </c>
      <c r="J12">
        <f>SUM(Table1[[#This Row],[Connector PCB]:[Other]])</f>
        <v>26</v>
      </c>
      <c r="K12" s="4">
        <v>0.08</v>
      </c>
      <c r="L12" s="1">
        <f>Table1[[#This Row],[Quantity]]*Table1[[#This Row],[Unit Cost]]</f>
        <v>2.08</v>
      </c>
      <c r="M12" t="s">
        <v>14</v>
      </c>
      <c r="N12" s="3" t="s">
        <v>161</v>
      </c>
    </row>
    <row r="13" spans="1:15" x14ac:dyDescent="0.3">
      <c r="A13" t="s">
        <v>39</v>
      </c>
      <c r="B13" t="s">
        <v>40</v>
      </c>
      <c r="I13">
        <v>0</v>
      </c>
      <c r="J13">
        <f>SUM(Table1[[#This Row],[Connector PCB]:[Other]])</f>
        <v>0</v>
      </c>
      <c r="K13" s="4">
        <v>11.99</v>
      </c>
      <c r="L13" s="1">
        <f>Table1[[#This Row],[Quantity]]*Table1[[#This Row],[Unit Cost]]</f>
        <v>0</v>
      </c>
      <c r="M13" t="s">
        <v>14</v>
      </c>
      <c r="N13" s="3" t="s">
        <v>34</v>
      </c>
    </row>
    <row r="14" spans="1:15" x14ac:dyDescent="0.3">
      <c r="A14" t="s">
        <v>207</v>
      </c>
      <c r="B14" t="s">
        <v>208</v>
      </c>
      <c r="I14">
        <v>2</v>
      </c>
      <c r="J14" s="5">
        <f>SUM(Table1[[#This Row],[Connector PCB]:[Other]])</f>
        <v>2</v>
      </c>
      <c r="K14" s="4">
        <v>1</v>
      </c>
      <c r="L14" s="1">
        <f>Table1[[#This Row],[Quantity]]*Table1[[#This Row],[Unit Cost]]</f>
        <v>2</v>
      </c>
      <c r="M14" t="s">
        <v>14</v>
      </c>
      <c r="N14" s="3" t="s">
        <v>209</v>
      </c>
    </row>
    <row r="15" spans="1:15" x14ac:dyDescent="0.3">
      <c r="A15" t="s">
        <v>75</v>
      </c>
      <c r="B15" t="s">
        <v>78</v>
      </c>
      <c r="I15">
        <v>2</v>
      </c>
      <c r="J15">
        <f>SUM(Table1[[#This Row],[Connector PCB]:[Other]])</f>
        <v>2</v>
      </c>
      <c r="K15" s="4">
        <v>7.42</v>
      </c>
      <c r="L15" s="1">
        <f>Table1[[#This Row],[Quantity]]*Table1[[#This Row],[Unit Cost]]</f>
        <v>14.84</v>
      </c>
      <c r="M15" t="s">
        <v>31</v>
      </c>
    </row>
    <row r="16" spans="1:15" x14ac:dyDescent="0.3">
      <c r="A16" t="s">
        <v>160</v>
      </c>
      <c r="B16" t="s">
        <v>78</v>
      </c>
      <c r="I16">
        <v>1</v>
      </c>
      <c r="J16">
        <f>SUM(Table1[[#This Row],[Connector PCB]:[Other]])</f>
        <v>1</v>
      </c>
      <c r="K16" s="4">
        <v>21.24</v>
      </c>
      <c r="L16" s="1">
        <f>Table1[[#This Row],[Quantity]]*Table1[[#This Row],[Unit Cost]]</f>
        <v>21.24</v>
      </c>
      <c r="M16" t="s">
        <v>31</v>
      </c>
    </row>
    <row r="17" spans="1:15" x14ac:dyDescent="0.3">
      <c r="A17" t="s">
        <v>159</v>
      </c>
      <c r="B17" t="s">
        <v>78</v>
      </c>
      <c r="I17">
        <v>1</v>
      </c>
      <c r="J17">
        <f>SUM(Table1[[#This Row],[Connector PCB]:[Other]])</f>
        <v>1</v>
      </c>
      <c r="K17" s="4">
        <v>21.24</v>
      </c>
      <c r="L17" s="1">
        <f>Table1[[#This Row],[Quantity]]*Table1[[#This Row],[Unit Cost]]</f>
        <v>21.24</v>
      </c>
      <c r="M17" t="s">
        <v>31</v>
      </c>
    </row>
    <row r="18" spans="1:15" x14ac:dyDescent="0.3">
      <c r="A18" t="s">
        <v>32</v>
      </c>
      <c r="B18" t="s">
        <v>88</v>
      </c>
      <c r="I18">
        <v>2</v>
      </c>
      <c r="J18">
        <f>SUM(Table1[[#This Row],[Connector PCB]:[Other]])</f>
        <v>2</v>
      </c>
      <c r="K18" s="4">
        <v>4.5599999999999996</v>
      </c>
      <c r="L18" s="1">
        <f>Table1[[#This Row],[Quantity]]*Table1[[#This Row],[Unit Cost]]</f>
        <v>9.1199999999999992</v>
      </c>
      <c r="M18" t="s">
        <v>31</v>
      </c>
      <c r="O18" t="s">
        <v>87</v>
      </c>
    </row>
    <row r="19" spans="1:15" x14ac:dyDescent="0.3">
      <c r="A19" t="s">
        <v>44</v>
      </c>
      <c r="B19" t="s">
        <v>45</v>
      </c>
      <c r="H19">
        <v>2</v>
      </c>
      <c r="J19">
        <f>SUM(Table1[[#This Row],[Connector PCB]:[Other]])</f>
        <v>2</v>
      </c>
      <c r="K19" s="4">
        <v>0.63</v>
      </c>
      <c r="L19" s="1">
        <f>Table1[[#This Row],[Quantity]]*Table1[[#This Row],[Unit Cost]]</f>
        <v>1.26</v>
      </c>
      <c r="M19" t="s">
        <v>17</v>
      </c>
    </row>
    <row r="20" spans="1:15" x14ac:dyDescent="0.3">
      <c r="A20" t="s">
        <v>44</v>
      </c>
      <c r="B20" t="s">
        <v>46</v>
      </c>
      <c r="E20">
        <v>2</v>
      </c>
      <c r="J20">
        <f>SUM(Table1[[#This Row],[Connector PCB]:[Other]])</f>
        <v>2</v>
      </c>
      <c r="K20" s="4">
        <v>1.97</v>
      </c>
      <c r="L20" s="1">
        <f>Table1[[#This Row],[Quantity]]*Table1[[#This Row],[Unit Cost]]</f>
        <v>3.94</v>
      </c>
      <c r="M20" t="s">
        <v>17</v>
      </c>
    </row>
    <row r="21" spans="1:15" x14ac:dyDescent="0.3">
      <c r="A21" t="s">
        <v>44</v>
      </c>
      <c r="B21" t="s">
        <v>48</v>
      </c>
      <c r="G21">
        <v>1</v>
      </c>
      <c r="J21">
        <f>SUM(Table1[[#This Row],[Connector PCB]:[Other]])</f>
        <v>1</v>
      </c>
      <c r="K21" s="4">
        <v>5.13</v>
      </c>
      <c r="L21" s="1">
        <f>Table1[[#This Row],[Quantity]]*Table1[[#This Row],[Unit Cost]]</f>
        <v>5.13</v>
      </c>
      <c r="M21" t="s">
        <v>17</v>
      </c>
    </row>
    <row r="22" spans="1:15" x14ac:dyDescent="0.3">
      <c r="A22" t="s">
        <v>44</v>
      </c>
      <c r="B22" t="s">
        <v>47</v>
      </c>
      <c r="F22">
        <v>1</v>
      </c>
      <c r="J22">
        <f>SUM(Table1[[#This Row],[Connector PCB]:[Other]])</f>
        <v>1</v>
      </c>
      <c r="K22" s="4">
        <v>5.45</v>
      </c>
      <c r="L22" s="1">
        <f>Table1[[#This Row],[Quantity]]*Table1[[#This Row],[Unit Cost]]</f>
        <v>5.45</v>
      </c>
      <c r="M22" t="s">
        <v>17</v>
      </c>
    </row>
    <row r="23" spans="1:15" x14ac:dyDescent="0.3">
      <c r="A23" t="s">
        <v>30</v>
      </c>
      <c r="I23">
        <v>1</v>
      </c>
      <c r="J23">
        <f>SUM(Table1[[#This Row],[Connector PCB]:[Other]])</f>
        <v>1</v>
      </c>
      <c r="K23" s="4">
        <v>0.66</v>
      </c>
      <c r="L23" s="1">
        <f>Table1[[#This Row],[Quantity]]*Table1[[#This Row],[Unit Cost]]</f>
        <v>0.66</v>
      </c>
      <c r="M23" t="s">
        <v>17</v>
      </c>
    </row>
    <row r="24" spans="1:15" x14ac:dyDescent="0.3">
      <c r="A24" t="s">
        <v>145</v>
      </c>
      <c r="B24" t="s">
        <v>93</v>
      </c>
      <c r="I24">
        <v>8</v>
      </c>
      <c r="J24">
        <f>SUM(Table1[[#This Row],[Connector PCB]:[Other]])</f>
        <v>8</v>
      </c>
      <c r="K24" s="4">
        <v>0.45</v>
      </c>
      <c r="L24" s="1">
        <f>Table1[[#This Row],[Quantity]]*Table1[[#This Row],[Unit Cost]]</f>
        <v>3.6</v>
      </c>
      <c r="M24" t="s">
        <v>135</v>
      </c>
      <c r="N24" s="3" t="s">
        <v>146</v>
      </c>
    </row>
    <row r="25" spans="1:15" x14ac:dyDescent="0.3">
      <c r="A25" t="s">
        <v>64</v>
      </c>
      <c r="C25" t="s">
        <v>172</v>
      </c>
      <c r="D25" t="s">
        <v>102</v>
      </c>
      <c r="F25">
        <v>1</v>
      </c>
      <c r="J25">
        <f>SUM(Table1[[#This Row],[Connector PCB]:[Other]])</f>
        <v>1</v>
      </c>
      <c r="K25" s="4">
        <v>0.76</v>
      </c>
      <c r="L25" s="1">
        <f>Table1[[#This Row],[Quantity]]*Table1[[#This Row],[Unit Cost]]</f>
        <v>0.76</v>
      </c>
      <c r="M25" t="s">
        <v>8</v>
      </c>
      <c r="N25" s="3" t="s">
        <v>101</v>
      </c>
    </row>
    <row r="26" spans="1:15" x14ac:dyDescent="0.3">
      <c r="A26" t="s">
        <v>68</v>
      </c>
      <c r="C26" t="s">
        <v>173</v>
      </c>
      <c r="D26" t="s">
        <v>113</v>
      </c>
      <c r="G26">
        <v>1</v>
      </c>
      <c r="J26">
        <f>SUM(Table1[[#This Row],[Connector PCB]:[Other]])</f>
        <v>1</v>
      </c>
      <c r="K26" s="4">
        <v>0.18</v>
      </c>
      <c r="L26" s="1">
        <f>Table1[[#This Row],[Quantity]]*Table1[[#This Row],[Unit Cost]]</f>
        <v>0.18</v>
      </c>
      <c r="M26" t="s">
        <v>8</v>
      </c>
      <c r="N26" s="3" t="s">
        <v>167</v>
      </c>
    </row>
    <row r="27" spans="1:15" x14ac:dyDescent="0.3">
      <c r="A27" t="s">
        <v>138</v>
      </c>
      <c r="C27" t="s">
        <v>174</v>
      </c>
      <c r="D27" t="s">
        <v>51</v>
      </c>
      <c r="H27">
        <v>8</v>
      </c>
      <c r="J27">
        <f>SUM(Table1[[#This Row],[Connector PCB]:[Other]])</f>
        <v>8</v>
      </c>
      <c r="K27" s="4">
        <v>0.1</v>
      </c>
      <c r="L27" s="1">
        <f>Table1[[#This Row],[Quantity]]*Table1[[#This Row],[Unit Cost]]</f>
        <v>0.8</v>
      </c>
      <c r="M27" t="s">
        <v>8</v>
      </c>
      <c r="N27" s="3" t="s">
        <v>144</v>
      </c>
    </row>
    <row r="28" spans="1:15" x14ac:dyDescent="0.3">
      <c r="A28" t="s">
        <v>137</v>
      </c>
      <c r="C28" t="s">
        <v>175</v>
      </c>
      <c r="D28" t="s">
        <v>53</v>
      </c>
      <c r="F28">
        <v>2</v>
      </c>
      <c r="H28">
        <v>4</v>
      </c>
      <c r="J28">
        <f>SUM(Table1[[#This Row],[Connector PCB]:[Other]])</f>
        <v>6</v>
      </c>
      <c r="K28" s="4">
        <v>0.1</v>
      </c>
      <c r="L28" s="1">
        <f>Table1[[#This Row],[Quantity]]*Table1[[#This Row],[Unit Cost]]</f>
        <v>0.60000000000000009</v>
      </c>
      <c r="M28" t="s">
        <v>8</v>
      </c>
      <c r="N28" s="3" t="s">
        <v>143</v>
      </c>
    </row>
    <row r="29" spans="1:15" x14ac:dyDescent="0.3">
      <c r="A29" t="s">
        <v>139</v>
      </c>
      <c r="C29" t="s">
        <v>176</v>
      </c>
      <c r="H29">
        <v>2</v>
      </c>
      <c r="J29">
        <f>SUM(Table1[[#This Row],[Connector PCB]:[Other]])</f>
        <v>2</v>
      </c>
      <c r="K29" s="4">
        <v>0.12</v>
      </c>
      <c r="L29" s="1">
        <f>Table1[[#This Row],[Quantity]]*Table1[[#This Row],[Unit Cost]]</f>
        <v>0.24</v>
      </c>
      <c r="M29" t="s">
        <v>8</v>
      </c>
      <c r="N29" s="3" t="s">
        <v>168</v>
      </c>
    </row>
    <row r="30" spans="1:15" x14ac:dyDescent="0.3">
      <c r="A30" t="s">
        <v>140</v>
      </c>
      <c r="C30" t="s">
        <v>177</v>
      </c>
      <c r="D30" t="s">
        <v>52</v>
      </c>
      <c r="H30">
        <v>2</v>
      </c>
      <c r="J30">
        <f>SUM(Table1[[#This Row],[Connector PCB]:[Other]])</f>
        <v>2</v>
      </c>
      <c r="K30" s="4">
        <v>0.12</v>
      </c>
      <c r="L30" s="1">
        <f>Table1[[#This Row],[Quantity]]*Table1[[#This Row],[Unit Cost]]</f>
        <v>0.24</v>
      </c>
      <c r="M30" t="s">
        <v>8</v>
      </c>
      <c r="N30" s="3" t="s">
        <v>142</v>
      </c>
    </row>
    <row r="31" spans="1:15" x14ac:dyDescent="0.3">
      <c r="A31" t="s">
        <v>141</v>
      </c>
      <c r="C31" t="s">
        <v>178</v>
      </c>
      <c r="D31" t="s">
        <v>54</v>
      </c>
      <c r="H31">
        <v>2</v>
      </c>
      <c r="J31">
        <f>SUM(Table1[[#This Row],[Connector PCB]:[Other]])</f>
        <v>2</v>
      </c>
      <c r="K31" s="4">
        <v>0.38</v>
      </c>
      <c r="L31" s="1">
        <f>Table1[[#This Row],[Quantity]]*Table1[[#This Row],[Unit Cost]]</f>
        <v>0.76</v>
      </c>
      <c r="M31" t="s">
        <v>8</v>
      </c>
      <c r="N31" s="3" t="s">
        <v>136</v>
      </c>
    </row>
    <row r="32" spans="1:15" x14ac:dyDescent="0.3">
      <c r="A32" t="s">
        <v>42</v>
      </c>
      <c r="C32" t="s">
        <v>179</v>
      </c>
      <c r="D32" t="s">
        <v>115</v>
      </c>
      <c r="G32">
        <v>44</v>
      </c>
      <c r="J32">
        <f>SUM(Table1[[#This Row],[Connector PCB]:[Other]])</f>
        <v>44</v>
      </c>
      <c r="K32" s="4">
        <v>0.11</v>
      </c>
      <c r="L32" s="1">
        <f>Table1[[#This Row],[Quantity]]*Table1[[#This Row],[Unit Cost]]</f>
        <v>4.84</v>
      </c>
      <c r="M32" t="s">
        <v>8</v>
      </c>
      <c r="N32" s="3" t="s">
        <v>114</v>
      </c>
      <c r="O32" t="s">
        <v>116</v>
      </c>
    </row>
    <row r="33" spans="1:15" x14ac:dyDescent="0.3">
      <c r="A33" t="s">
        <v>61</v>
      </c>
      <c r="C33" t="s">
        <v>180</v>
      </c>
      <c r="D33" t="s">
        <v>90</v>
      </c>
      <c r="E33">
        <v>6</v>
      </c>
      <c r="J33">
        <f>SUM(Table1[[#This Row],[Connector PCB]:[Other]])</f>
        <v>6</v>
      </c>
      <c r="K33" s="4">
        <v>0.89</v>
      </c>
      <c r="L33" s="1">
        <f>Table1[[#This Row],[Quantity]]*Table1[[#This Row],[Unit Cost]]</f>
        <v>5.34</v>
      </c>
      <c r="M33" t="s">
        <v>8</v>
      </c>
      <c r="N33" s="3" t="s">
        <v>91</v>
      </c>
    </row>
    <row r="34" spans="1:15" x14ac:dyDescent="0.3">
      <c r="A34" t="s">
        <v>60</v>
      </c>
      <c r="C34" t="s">
        <v>181</v>
      </c>
      <c r="D34" t="s">
        <v>96</v>
      </c>
      <c r="E34">
        <v>2</v>
      </c>
      <c r="G34">
        <v>1</v>
      </c>
      <c r="J34">
        <f>SUM(Table1[[#This Row],[Connector PCB]:[Other]])</f>
        <v>3</v>
      </c>
      <c r="K34" s="4">
        <v>0.11</v>
      </c>
      <c r="L34" s="1">
        <f>Table1[[#This Row],[Quantity]]*Table1[[#This Row],[Unit Cost]]</f>
        <v>0.33</v>
      </c>
      <c r="M34" t="s">
        <v>8</v>
      </c>
      <c r="N34" s="3" t="s">
        <v>92</v>
      </c>
    </row>
    <row r="35" spans="1:15" x14ac:dyDescent="0.3">
      <c r="A35" t="s">
        <v>7</v>
      </c>
      <c r="C35" t="s">
        <v>182</v>
      </c>
      <c r="D35" t="s">
        <v>122</v>
      </c>
      <c r="I35">
        <v>7</v>
      </c>
      <c r="J35">
        <f>SUM(Table1[[#This Row],[Connector PCB]:[Other]])</f>
        <v>7</v>
      </c>
      <c r="K35" s="4">
        <v>1.1299999999999999</v>
      </c>
      <c r="L35" s="1">
        <f>Table1[[#This Row],[Quantity]]*Table1[[#This Row],[Unit Cost]]</f>
        <v>7.9099999999999993</v>
      </c>
      <c r="M35" t="s">
        <v>8</v>
      </c>
      <c r="N35" s="3" t="s">
        <v>121</v>
      </c>
      <c r="O35" t="s">
        <v>56</v>
      </c>
    </row>
    <row r="36" spans="1:15" x14ac:dyDescent="0.3">
      <c r="A36" t="s">
        <v>41</v>
      </c>
      <c r="C36" t="s">
        <v>183</v>
      </c>
      <c r="D36" t="s">
        <v>99</v>
      </c>
      <c r="E36">
        <v>2</v>
      </c>
      <c r="F36">
        <v>8</v>
      </c>
      <c r="I36">
        <v>1</v>
      </c>
      <c r="J36">
        <f>SUM(Table1[[#This Row],[Connector PCB]:[Other]])</f>
        <v>11</v>
      </c>
      <c r="K36" s="4">
        <v>0.43</v>
      </c>
      <c r="L36" s="1">
        <f>Table1[[#This Row],[Quantity]]*Table1[[#This Row],[Unit Cost]]</f>
        <v>4.7299999999999995</v>
      </c>
      <c r="M36" t="s">
        <v>8</v>
      </c>
      <c r="N36" s="3" t="s">
        <v>97</v>
      </c>
    </row>
    <row r="37" spans="1:15" x14ac:dyDescent="0.3">
      <c r="A37" t="s">
        <v>94</v>
      </c>
      <c r="C37" t="s">
        <v>184</v>
      </c>
      <c r="D37" t="s">
        <v>55</v>
      </c>
      <c r="H37">
        <v>2</v>
      </c>
      <c r="J37">
        <f>SUM(Table1[[#This Row],[Connector PCB]:[Other]])</f>
        <v>2</v>
      </c>
      <c r="K37" s="4">
        <v>0.4</v>
      </c>
      <c r="L37" s="1">
        <f>Table1[[#This Row],[Quantity]]*Table1[[#This Row],[Unit Cost]]</f>
        <v>0.8</v>
      </c>
      <c r="M37" t="s">
        <v>8</v>
      </c>
      <c r="N37" s="3" t="s">
        <v>98</v>
      </c>
    </row>
    <row r="38" spans="1:15" x14ac:dyDescent="0.3">
      <c r="A38" t="s">
        <v>59</v>
      </c>
      <c r="C38" t="s">
        <v>185</v>
      </c>
      <c r="D38" t="s">
        <v>95</v>
      </c>
      <c r="E38">
        <v>2</v>
      </c>
      <c r="G38">
        <v>1</v>
      </c>
      <c r="J38">
        <f>SUM(Table1[[#This Row],[Connector PCB]:[Other]])</f>
        <v>3</v>
      </c>
      <c r="K38" s="4">
        <v>0.32</v>
      </c>
      <c r="L38" s="1">
        <f>Table1[[#This Row],[Quantity]]*Table1[[#This Row],[Unit Cost]]</f>
        <v>0.96</v>
      </c>
      <c r="M38" t="s">
        <v>8</v>
      </c>
      <c r="N38" s="3" t="s">
        <v>100</v>
      </c>
    </row>
    <row r="39" spans="1:15" x14ac:dyDescent="0.3">
      <c r="A39" t="s">
        <v>166</v>
      </c>
      <c r="C39" t="s">
        <v>186</v>
      </c>
      <c r="F39">
        <v>1</v>
      </c>
      <c r="J39">
        <f>SUM(Table1[[#This Row],[Connector PCB]:[Other]])</f>
        <v>1</v>
      </c>
      <c r="K39" s="4">
        <v>9.11</v>
      </c>
      <c r="L39" s="1">
        <f>Table1[[#This Row],[Quantity]]*Table1[[#This Row],[Unit Cost]]</f>
        <v>9.11</v>
      </c>
      <c r="M39" t="s">
        <v>8</v>
      </c>
      <c r="N39" s="3" t="s">
        <v>19</v>
      </c>
    </row>
    <row r="40" spans="1:15" x14ac:dyDescent="0.3">
      <c r="A40" t="s">
        <v>67</v>
      </c>
      <c r="C40" t="s">
        <v>187</v>
      </c>
      <c r="D40" t="s">
        <v>117</v>
      </c>
      <c r="G40">
        <v>2</v>
      </c>
      <c r="J40">
        <f>SUM(Table1[[#This Row],[Connector PCB]:[Other]])</f>
        <v>2</v>
      </c>
      <c r="K40" s="4">
        <v>1.69</v>
      </c>
      <c r="L40" s="1">
        <f>Table1[[#This Row],[Quantity]]*Table1[[#This Row],[Unit Cost]]</f>
        <v>3.38</v>
      </c>
      <c r="M40" t="s">
        <v>8</v>
      </c>
      <c r="N40" s="3" t="s">
        <v>118</v>
      </c>
    </row>
    <row r="41" spans="1:15" x14ac:dyDescent="0.3">
      <c r="A41" t="s">
        <v>70</v>
      </c>
      <c r="C41" t="s">
        <v>188</v>
      </c>
      <c r="D41" t="s">
        <v>120</v>
      </c>
      <c r="G41">
        <v>1</v>
      </c>
      <c r="J41">
        <f>SUM(Table1[[#This Row],[Connector PCB]:[Other]])</f>
        <v>1</v>
      </c>
      <c r="K41" s="4">
        <v>0.76</v>
      </c>
      <c r="L41" s="1">
        <f>Table1[[#This Row],[Quantity]]*Table1[[#This Row],[Unit Cost]]</f>
        <v>0.76</v>
      </c>
      <c r="M41" t="s">
        <v>8</v>
      </c>
      <c r="N41" s="3" t="s">
        <v>119</v>
      </c>
    </row>
    <row r="42" spans="1:15" x14ac:dyDescent="0.3">
      <c r="A42" t="s">
        <v>103</v>
      </c>
      <c r="C42" t="s">
        <v>189</v>
      </c>
      <c r="D42" t="s">
        <v>106</v>
      </c>
      <c r="F42">
        <v>1</v>
      </c>
      <c r="J42">
        <f>SUM(Table1[[#This Row],[Connector PCB]:[Other]])</f>
        <v>1</v>
      </c>
      <c r="K42" s="4">
        <v>0.54</v>
      </c>
      <c r="L42" s="1">
        <f>Table1[[#This Row],[Quantity]]*Table1[[#This Row],[Unit Cost]]</f>
        <v>0.54</v>
      </c>
      <c r="M42" t="s">
        <v>8</v>
      </c>
      <c r="N42" s="3" t="s">
        <v>105</v>
      </c>
      <c r="O42" t="s">
        <v>63</v>
      </c>
    </row>
    <row r="43" spans="1:15" x14ac:dyDescent="0.3">
      <c r="A43" t="s">
        <v>104</v>
      </c>
      <c r="C43" t="s">
        <v>190</v>
      </c>
      <c r="D43" t="s">
        <v>107</v>
      </c>
      <c r="F43">
        <v>1</v>
      </c>
      <c r="J43">
        <f>SUM(Table1[[#This Row],[Connector PCB]:[Other]])</f>
        <v>1</v>
      </c>
      <c r="K43" s="4">
        <v>0.74</v>
      </c>
      <c r="L43" s="1">
        <f>Table1[[#This Row],[Quantity]]*Table1[[#This Row],[Unit Cost]]</f>
        <v>0.74</v>
      </c>
      <c r="M43" t="s">
        <v>8</v>
      </c>
      <c r="N43" s="3" t="s">
        <v>108</v>
      </c>
      <c r="O43" t="s">
        <v>62</v>
      </c>
    </row>
    <row r="44" spans="1:15" x14ac:dyDescent="0.3">
      <c r="A44" t="s">
        <v>66</v>
      </c>
      <c r="C44" t="s">
        <v>191</v>
      </c>
      <c r="D44" t="s">
        <v>109</v>
      </c>
      <c r="F44">
        <v>1</v>
      </c>
      <c r="J44">
        <f>SUM(Table1[[#This Row],[Connector PCB]:[Other]])</f>
        <v>1</v>
      </c>
      <c r="K44" s="4">
        <v>0.33</v>
      </c>
      <c r="L44" s="1">
        <f>Table1[[#This Row],[Quantity]]*Table1[[#This Row],[Unit Cost]]</f>
        <v>0.33</v>
      </c>
      <c r="M44" t="s">
        <v>8</v>
      </c>
      <c r="N44" s="3" t="s">
        <v>192</v>
      </c>
    </row>
    <row r="45" spans="1:15" x14ac:dyDescent="0.3">
      <c r="A45" t="s">
        <v>150</v>
      </c>
      <c r="C45" t="s">
        <v>193</v>
      </c>
      <c r="G45">
        <v>12</v>
      </c>
      <c r="J45">
        <f>SUM(Table1[[#This Row],[Connector PCB]:[Other]])</f>
        <v>12</v>
      </c>
      <c r="K45" s="4">
        <v>0.1</v>
      </c>
      <c r="L45" s="1">
        <f>Table1[[#This Row],[Quantity]]*Table1[[#This Row],[Unit Cost]]</f>
        <v>1.2000000000000002</v>
      </c>
      <c r="M45" t="s">
        <v>8</v>
      </c>
      <c r="N45" s="3" t="s">
        <v>129</v>
      </c>
    </row>
    <row r="46" spans="1:15" x14ac:dyDescent="0.3">
      <c r="A46" t="s">
        <v>155</v>
      </c>
      <c r="C46" t="s">
        <v>194</v>
      </c>
      <c r="F46">
        <v>1</v>
      </c>
      <c r="J46">
        <f>SUM(Table1[[#This Row],[Connector PCB]:[Other]])</f>
        <v>1</v>
      </c>
      <c r="K46" s="4">
        <v>0.1</v>
      </c>
      <c r="L46" s="1">
        <f>Table1[[#This Row],[Quantity]]*Table1[[#This Row],[Unit Cost]]</f>
        <v>0.1</v>
      </c>
      <c r="M46" t="s">
        <v>8</v>
      </c>
      <c r="N46" s="3" t="s">
        <v>124</v>
      </c>
    </row>
    <row r="47" spans="1:15" x14ac:dyDescent="0.3">
      <c r="A47" t="s">
        <v>156</v>
      </c>
      <c r="C47" t="s">
        <v>195</v>
      </c>
      <c r="F47">
        <v>1</v>
      </c>
      <c r="J47">
        <f>SUM(Table1[[#This Row],[Connector PCB]:[Other]])</f>
        <v>1</v>
      </c>
      <c r="K47" s="4">
        <v>0.1</v>
      </c>
      <c r="L47" s="1">
        <f>Table1[[#This Row],[Quantity]]*Table1[[#This Row],[Unit Cost]]</f>
        <v>0.1</v>
      </c>
      <c r="M47" t="s">
        <v>8</v>
      </c>
      <c r="N47" s="3" t="s">
        <v>125</v>
      </c>
    </row>
    <row r="48" spans="1:15" x14ac:dyDescent="0.3">
      <c r="A48" t="s">
        <v>154</v>
      </c>
      <c r="C48" t="s">
        <v>196</v>
      </c>
      <c r="F48">
        <v>1</v>
      </c>
      <c r="H48">
        <v>2</v>
      </c>
      <c r="J48">
        <f>SUM(Table1[[#This Row],[Connector PCB]:[Other]])</f>
        <v>3</v>
      </c>
      <c r="K48" s="4">
        <v>0.1</v>
      </c>
      <c r="L48" s="1">
        <f>Table1[[#This Row],[Quantity]]*Table1[[#This Row],[Unit Cost]]</f>
        <v>0.30000000000000004</v>
      </c>
      <c r="M48" t="s">
        <v>8</v>
      </c>
      <c r="N48" s="3" t="s">
        <v>126</v>
      </c>
    </row>
    <row r="49" spans="1:15" x14ac:dyDescent="0.3">
      <c r="A49" t="s">
        <v>149</v>
      </c>
      <c r="C49" t="s">
        <v>197</v>
      </c>
      <c r="G49">
        <v>1</v>
      </c>
      <c r="J49">
        <f>SUM(Table1[[#This Row],[Connector PCB]:[Other]])</f>
        <v>1</v>
      </c>
      <c r="K49" s="4">
        <v>0.1</v>
      </c>
      <c r="L49" s="1">
        <f>Table1[[#This Row],[Quantity]]*Table1[[#This Row],[Unit Cost]]</f>
        <v>0.1</v>
      </c>
      <c r="M49" t="s">
        <v>8</v>
      </c>
      <c r="N49" s="3" t="s">
        <v>123</v>
      </c>
    </row>
    <row r="50" spans="1:15" x14ac:dyDescent="0.3">
      <c r="A50" t="s">
        <v>151</v>
      </c>
      <c r="C50" t="s">
        <v>198</v>
      </c>
      <c r="G50">
        <v>1</v>
      </c>
      <c r="J50">
        <f>SUM(Table1[[#This Row],[Connector PCB]:[Other]])</f>
        <v>1</v>
      </c>
      <c r="K50" s="4">
        <v>0.1</v>
      </c>
      <c r="L50" s="1">
        <f>Table1[[#This Row],[Quantity]]*Table1[[#This Row],[Unit Cost]]</f>
        <v>0.1</v>
      </c>
      <c r="M50" t="s">
        <v>8</v>
      </c>
      <c r="N50" s="3" t="s">
        <v>130</v>
      </c>
    </row>
    <row r="51" spans="1:15" x14ac:dyDescent="0.3">
      <c r="A51" t="s">
        <v>152</v>
      </c>
      <c r="C51" t="s">
        <v>199</v>
      </c>
      <c r="G51">
        <v>1</v>
      </c>
      <c r="J51">
        <f>SUM(Table1[[#This Row],[Connector PCB]:[Other]])</f>
        <v>1</v>
      </c>
      <c r="K51" s="4">
        <v>0.1</v>
      </c>
      <c r="L51" s="1">
        <f>Table1[[#This Row],[Quantity]]*Table1[[#This Row],[Unit Cost]]</f>
        <v>0.1</v>
      </c>
      <c r="M51" t="s">
        <v>8</v>
      </c>
      <c r="N51" s="3" t="s">
        <v>131</v>
      </c>
    </row>
    <row r="52" spans="1:15" x14ac:dyDescent="0.3">
      <c r="A52" t="s">
        <v>153</v>
      </c>
      <c r="C52" t="s">
        <v>200</v>
      </c>
      <c r="G52">
        <v>2</v>
      </c>
      <c r="J52">
        <f>SUM(Table1[[#This Row],[Connector PCB]:[Other]])</f>
        <v>2</v>
      </c>
      <c r="K52" s="4">
        <v>0.1</v>
      </c>
      <c r="L52" s="1">
        <f>Table1[[#This Row],[Quantity]]*Table1[[#This Row],[Unit Cost]]</f>
        <v>0.2</v>
      </c>
      <c r="M52" t="s">
        <v>8</v>
      </c>
      <c r="N52" s="3" t="s">
        <v>132</v>
      </c>
    </row>
    <row r="53" spans="1:15" x14ac:dyDescent="0.3">
      <c r="A53" t="s">
        <v>157</v>
      </c>
      <c r="C53" t="s">
        <v>201</v>
      </c>
      <c r="F53">
        <v>1</v>
      </c>
      <c r="J53">
        <f>SUM(Table1[[#This Row],[Connector PCB]:[Other]])</f>
        <v>1</v>
      </c>
      <c r="K53" s="4">
        <v>0.1</v>
      </c>
      <c r="L53" s="1">
        <f>Table1[[#This Row],[Quantity]]*Table1[[#This Row],[Unit Cost]]</f>
        <v>0.1</v>
      </c>
      <c r="M53" t="s">
        <v>8</v>
      </c>
      <c r="N53" s="3" t="s">
        <v>127</v>
      </c>
    </row>
    <row r="54" spans="1:15" x14ac:dyDescent="0.3">
      <c r="A54" t="s">
        <v>158</v>
      </c>
      <c r="C54" t="s">
        <v>202</v>
      </c>
      <c r="F54">
        <v>1</v>
      </c>
      <c r="J54">
        <f>SUM(Table1[[#This Row],[Connector PCB]:[Other]])</f>
        <v>1</v>
      </c>
      <c r="K54" s="4">
        <v>0.1</v>
      </c>
      <c r="L54" s="1">
        <f>Table1[[#This Row],[Quantity]]*Table1[[#This Row],[Unit Cost]]</f>
        <v>0.1</v>
      </c>
      <c r="M54" t="s">
        <v>8</v>
      </c>
      <c r="N54" s="3" t="s">
        <v>128</v>
      </c>
    </row>
    <row r="55" spans="1:15" x14ac:dyDescent="0.3">
      <c r="A55" t="s">
        <v>65</v>
      </c>
      <c r="C55" t="s">
        <v>203</v>
      </c>
      <c r="D55" t="s">
        <v>110</v>
      </c>
      <c r="F55">
        <v>1</v>
      </c>
      <c r="J55">
        <f>SUM(Table1[[#This Row],[Connector PCB]:[Other]])</f>
        <v>1</v>
      </c>
      <c r="K55" s="4">
        <v>0.28999999999999998</v>
      </c>
      <c r="L55" s="1">
        <f>Table1[[#This Row],[Quantity]]*Table1[[#This Row],[Unit Cost]]</f>
        <v>0.28999999999999998</v>
      </c>
      <c r="M55" t="s">
        <v>8</v>
      </c>
      <c r="N55" s="3" t="s">
        <v>133</v>
      </c>
    </row>
    <row r="56" spans="1:15" x14ac:dyDescent="0.3">
      <c r="A56" t="s">
        <v>69</v>
      </c>
      <c r="C56" t="s">
        <v>204</v>
      </c>
      <c r="G56">
        <v>1</v>
      </c>
      <c r="J56">
        <f>SUM(Table1[[#This Row],[Connector PCB]:[Other]])</f>
        <v>1</v>
      </c>
      <c r="K56" s="4">
        <v>0.52</v>
      </c>
      <c r="L56" s="1">
        <f>Table1[[#This Row],[Quantity]]*Table1[[#This Row],[Unit Cost]]</f>
        <v>0.52</v>
      </c>
      <c r="M56" t="s">
        <v>8</v>
      </c>
      <c r="N56" s="3" t="s">
        <v>163</v>
      </c>
    </row>
    <row r="57" spans="1:15" x14ac:dyDescent="0.3">
      <c r="A57" t="s">
        <v>49</v>
      </c>
      <c r="C57" t="s">
        <v>206</v>
      </c>
      <c r="D57" t="s">
        <v>57</v>
      </c>
      <c r="H57">
        <v>2</v>
      </c>
      <c r="J57">
        <f>SUM(Table1[[#This Row],[Connector PCB]:[Other]])</f>
        <v>2</v>
      </c>
      <c r="K57" s="4">
        <v>0.14000000000000001</v>
      </c>
      <c r="L57" s="1">
        <f>Table1[[#This Row],[Quantity]]*Table1[[#This Row],[Unit Cost]]</f>
        <v>0.28000000000000003</v>
      </c>
      <c r="M57" t="s">
        <v>8</v>
      </c>
      <c r="N57" s="3" t="s">
        <v>134</v>
      </c>
      <c r="O57" t="s">
        <v>50</v>
      </c>
    </row>
    <row r="58" spans="1:15" x14ac:dyDescent="0.3">
      <c r="A58" t="s">
        <v>49</v>
      </c>
      <c r="C58" t="s">
        <v>205</v>
      </c>
      <c r="D58" t="s">
        <v>112</v>
      </c>
      <c r="F58">
        <v>1</v>
      </c>
      <c r="J58">
        <f>SUM(Table1[[#This Row],[Connector PCB]:[Other]])</f>
        <v>1</v>
      </c>
      <c r="K58" s="4">
        <v>0.37</v>
      </c>
      <c r="L58" s="1">
        <f>Table1[[#This Row],[Quantity]]*Table1[[#This Row],[Unit Cost]]</f>
        <v>0.37</v>
      </c>
      <c r="M58" t="s">
        <v>8</v>
      </c>
      <c r="N58" s="3" t="s">
        <v>111</v>
      </c>
    </row>
    <row r="59" spans="1:15" x14ac:dyDescent="0.3">
      <c r="A59" t="s">
        <v>76</v>
      </c>
      <c r="B59" t="s">
        <v>74</v>
      </c>
      <c r="I59">
        <v>2</v>
      </c>
      <c r="J59">
        <f>SUM(Table1[[#This Row],[Connector PCB]:[Other]])</f>
        <v>2</v>
      </c>
      <c r="K59" s="4">
        <v>3.45</v>
      </c>
      <c r="L59" s="1">
        <f>Table1[[#This Row],[Quantity]]*Table1[[#This Row],[Unit Cost]]</f>
        <v>6.9</v>
      </c>
      <c r="M59" t="s">
        <v>33</v>
      </c>
    </row>
    <row r="60" spans="1:15" x14ac:dyDescent="0.3">
      <c r="A60" t="s">
        <v>22</v>
      </c>
      <c r="B60" t="s">
        <v>23</v>
      </c>
      <c r="I60">
        <v>1</v>
      </c>
      <c r="J60">
        <f>SUM(Table1[[#This Row],[Connector PCB]:[Other]])</f>
        <v>1</v>
      </c>
      <c r="K60" s="4">
        <v>20</v>
      </c>
      <c r="L60" s="1">
        <f>Table1[[#This Row],[Quantity]]*Table1[[#This Row],[Unit Cost]]</f>
        <v>20</v>
      </c>
      <c r="M60" t="s">
        <v>24</v>
      </c>
      <c r="N60" s="3" t="s">
        <v>25</v>
      </c>
    </row>
    <row r="61" spans="1:15" x14ac:dyDescent="0.3">
      <c r="A61">
        <f>SUBTOTAL(103,Table1[Part])</f>
        <v>59</v>
      </c>
      <c r="C61">
        <f>SUBTOTAL(103,Table1[Mouser Part '#])</f>
        <v>34</v>
      </c>
      <c r="D61">
        <f>SUBTOTAL(103,Table1[LCSC Part '#])</f>
        <v>21</v>
      </c>
      <c r="E61">
        <f>SUBTOTAL(109,Table1[Connector PCB])</f>
        <v>15</v>
      </c>
      <c r="F61">
        <f>SUBTOTAL(109,Table1[Control PCB])</f>
        <v>23</v>
      </c>
      <c r="G61">
        <f>SUBTOTAL(109,Table1[Matrix PCB])</f>
        <v>113</v>
      </c>
      <c r="H61">
        <f>SUBTOTAL(109,Table1[Sensor PCB])</f>
        <v>28</v>
      </c>
      <c r="I61">
        <f>SUBTOTAL(109,Table1[Other])</f>
        <v>101</v>
      </c>
      <c r="J61">
        <f>SUBTOTAL(109,Table1[Quantity])</f>
        <v>280</v>
      </c>
      <c r="K61" s="4"/>
      <c r="L61" s="1">
        <f>SUBTOTAL(109,Table1[Total Cost])</f>
        <v>200.73999999999998</v>
      </c>
    </row>
  </sheetData>
  <phoneticPr fontId="2" type="noConversion"/>
  <hyperlinks>
    <hyperlink ref="N5" r:id="rId1" xr:uid="{3EF80975-0ADC-4121-AC6E-F0D6F27192AF}"/>
    <hyperlink ref="N4" r:id="rId2" xr:uid="{9D497DA8-6AE2-4348-9482-BF079C45DDC8}"/>
    <hyperlink ref="N3" r:id="rId3" xr:uid="{5F713AD3-EE79-419E-86E4-410E314D82F6}"/>
    <hyperlink ref="N13" r:id="rId4" xr:uid="{B7FD5679-CB48-466D-AC82-40D5B164DF30}"/>
    <hyperlink ref="N2" r:id="rId5" xr:uid="{BC1A73A8-5824-49FD-9174-AC378356EF75}"/>
    <hyperlink ref="N9" r:id="rId6" xr:uid="{CE4DA7E2-CFEB-44CB-9C47-C6720CD408C4}"/>
    <hyperlink ref="N6" r:id="rId7" xr:uid="{273FF093-11C5-4FEC-A9B0-EACAB5AB41E3}"/>
    <hyperlink ref="N60" r:id="rId8" xr:uid="{39E26F94-7A88-4F83-A169-50F069C2667C}"/>
    <hyperlink ref="N8" r:id="rId9" xr:uid="{D3FA6702-581A-44C3-A593-C7AFEF91EF0E}"/>
    <hyperlink ref="N39" r:id="rId10" xr:uid="{7939374C-C62A-41FE-BFB5-01DB0961903D}"/>
    <hyperlink ref="N33" r:id="rId11" xr:uid="{6C93B823-D8D6-4956-8486-8EB54F0576CD}"/>
    <hyperlink ref="N34" r:id="rId12" xr:uid="{9F4FC012-F15E-4DF1-8D14-068E8537BF00}"/>
    <hyperlink ref="N25" r:id="rId13" xr:uid="{5203D6E2-89CC-4BB3-B4F6-88BBDF80DA7C}"/>
    <hyperlink ref="N27" r:id="rId14" xr:uid="{72A8F909-39D5-420A-8B66-7845EAEB395B}"/>
    <hyperlink ref="N28" r:id="rId15" xr:uid="{7581AF20-7FE2-439A-A5A8-D474AA4AF9C7}"/>
    <hyperlink ref="N30" r:id="rId16" xr:uid="{3ABE1717-A8C3-4737-8D89-FE8125CE41F9}"/>
    <hyperlink ref="N31" r:id="rId17" xr:uid="{5C20296D-5290-4B05-AFF2-36FC1DE7159E}"/>
    <hyperlink ref="N32" r:id="rId18" xr:uid="{2777019D-1F37-4583-B7E4-1DADC226B29D}"/>
    <hyperlink ref="N35" r:id="rId19" xr:uid="{45D68375-618B-4640-ABD1-5F23369D1285}"/>
    <hyperlink ref="N36" r:id="rId20" xr:uid="{92F3EDD7-A595-4AF4-B616-3F15D7013C5D}"/>
    <hyperlink ref="N37" r:id="rId21" xr:uid="{C514DFF4-97E4-4F72-9CA3-1787D58C77CC}"/>
    <hyperlink ref="N38" r:id="rId22" xr:uid="{465D9784-E07F-4177-93B6-A088AC1E9E87}"/>
    <hyperlink ref="N40" r:id="rId23" xr:uid="{BD2E1E91-FBE4-45E9-B988-0FCB81C1D819}"/>
    <hyperlink ref="N41" r:id="rId24" xr:uid="{C57EA39E-ABB1-4B5A-9057-231739EE3391}"/>
    <hyperlink ref="N42" r:id="rId25" xr:uid="{9A76A53D-E3E4-4EC9-8EC8-2B7814A27973}"/>
    <hyperlink ref="N43" r:id="rId26" xr:uid="{FA831E8D-9CFC-422F-BD3B-75AD38567BCA}"/>
    <hyperlink ref="N46" r:id="rId27" xr:uid="{132B4780-8338-418F-B4FC-48747A897DA4}"/>
    <hyperlink ref="N47" r:id="rId28" xr:uid="{FCDF02F6-1A1A-4F39-9E9A-91CF01CDDEE6}"/>
    <hyperlink ref="N48" r:id="rId29" xr:uid="{51E92C2F-35C0-440F-ACC4-1C9CEE3093B2}"/>
    <hyperlink ref="N53" r:id="rId30" xr:uid="{8D480B69-0CA8-4DDD-A5F6-2BEABAEFCE35}"/>
    <hyperlink ref="N54" r:id="rId31" xr:uid="{DD89386A-EF93-42F0-BF9B-1097F7829BAC}"/>
    <hyperlink ref="N45" r:id="rId32" xr:uid="{3AB1BD82-5A6B-4242-AB61-0D52BFF18885}"/>
    <hyperlink ref="N49" r:id="rId33" xr:uid="{2664E122-D09D-4745-93CF-7C9300490A30}"/>
    <hyperlink ref="N50" r:id="rId34" xr:uid="{96BB636E-39BF-45BA-9506-2AA90DA3F297}"/>
    <hyperlink ref="N51" r:id="rId35" xr:uid="{60C72524-0E48-4AC7-9736-DED433AAF742}"/>
    <hyperlink ref="N52" r:id="rId36" xr:uid="{74A5EE19-0AA5-4EF5-9A6D-C14BFA939F90}"/>
    <hyperlink ref="N55" r:id="rId37" xr:uid="{D8C9F9EB-E711-42F0-98B1-FE8D9E63EB44}"/>
    <hyperlink ref="N58" r:id="rId38" xr:uid="{09BFC6B5-89A0-41F4-B20E-96E3BEE79567}"/>
    <hyperlink ref="N57" r:id="rId39" xr:uid="{DC5F4D60-24FB-4AD2-BB27-3BD0A8A98EAA}"/>
    <hyperlink ref="N24" r:id="rId40" xr:uid="{54A69CC5-F91C-4A2A-A596-4FCDC84018C9}"/>
    <hyperlink ref="N10" r:id="rId41" xr:uid="{E45ED9D9-58A2-49C4-9915-EFB07FBD22C0}"/>
    <hyperlink ref="N7" r:id="rId42" xr:uid="{05E0FB06-EBE8-401F-9742-47D27CFF5DA2}"/>
    <hyperlink ref="N12" r:id="rId43" xr:uid="{4E0019DB-B619-4375-A7CB-5C25A2DA8284}"/>
    <hyperlink ref="N11" r:id="rId44" xr:uid="{B158F633-7D28-4277-A4D0-F9E64C5B4899}"/>
    <hyperlink ref="N56" r:id="rId45" xr:uid="{AC47EAA7-FFFA-4DBA-A8AF-B047FD9CE6FA}"/>
    <hyperlink ref="N26" r:id="rId46" xr:uid="{068CAB34-B222-4338-B349-37E057B5CC98}"/>
    <hyperlink ref="N29" r:id="rId47" xr:uid="{8C5E588B-27FD-4B7F-BE44-A579F0F4E123}"/>
    <hyperlink ref="N44" r:id="rId48" xr:uid="{02C2221B-7A90-45B4-B72D-7C38424ED119}"/>
  </hyperlinks>
  <pageMargins left="0.7" right="0.7" top="0.75" bottom="0.75" header="0.3" footer="0.3"/>
  <pageSetup orientation="portrait" verticalDpi="0" r:id="rId49"/>
  <tableParts count="1">
    <tablePart r:id="rId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Lucas</dc:creator>
  <cp:lastModifiedBy>Joshua Lucas</cp:lastModifiedBy>
  <dcterms:created xsi:type="dcterms:W3CDTF">2026-07-10T15:22:46Z</dcterms:created>
  <dcterms:modified xsi:type="dcterms:W3CDTF">2026-07-14T21:57:32Z</dcterms:modified>
</cp:coreProperties>
</file>