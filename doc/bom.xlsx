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9207b9eabef3a75/Repositories/androphage/doc/"/>
    </mc:Choice>
  </mc:AlternateContent>
  <xr:revisionPtr revIDLastSave="91" documentId="8_{873F84E4-9022-4668-BD98-D9453E4117AC}" xr6:coauthVersionLast="47" xr6:coauthVersionMax="47" xr10:uidLastSave="{96FB8D40-0550-4238-B612-3718C1A34CEB}"/>
  <bookViews>
    <workbookView xWindow="38280" yWindow="-120" windowWidth="38640" windowHeight="21120" xr2:uid="{8DB1EDA4-4242-4AFC-9D80-17DA06623A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1" l="1"/>
  <c r="G14" i="1"/>
  <c r="G36" i="1" s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" i="1"/>
  <c r="G4" i="1"/>
  <c r="G5" i="1"/>
  <c r="G6" i="1"/>
  <c r="G7" i="1"/>
  <c r="G8" i="1"/>
  <c r="G9" i="1"/>
  <c r="G10" i="1"/>
  <c r="G11" i="1"/>
  <c r="G12" i="1"/>
  <c r="G2" i="1"/>
  <c r="E36" i="1"/>
  <c r="L36" i="1"/>
</calcChain>
</file>

<file path=xl/sharedStrings.xml><?xml version="1.0" encoding="utf-8"?>
<sst xmlns="http://schemas.openxmlformats.org/spreadsheetml/2006/main" count="172" uniqueCount="100">
  <si>
    <t>Subassembly</t>
  </si>
  <si>
    <t>Category</t>
  </si>
  <si>
    <t>Part</t>
  </si>
  <si>
    <t>Specifications</t>
  </si>
  <si>
    <t>Quantity</t>
  </si>
  <si>
    <t>Unit Cost</t>
  </si>
  <si>
    <t>Total Cost</t>
  </si>
  <si>
    <t>Note</t>
  </si>
  <si>
    <t>LCSC</t>
  </si>
  <si>
    <t>Source</t>
  </si>
  <si>
    <t>Link</t>
  </si>
  <si>
    <t>Description</t>
  </si>
  <si>
    <t>Electronic</t>
  </si>
  <si>
    <t>FPC cable</t>
  </si>
  <si>
    <t>Mouser</t>
  </si>
  <si>
    <t>Connector PCB</t>
  </si>
  <si>
    <t>Magnetic pogo pin connector</t>
  </si>
  <si>
    <t>pair, 12-pin</t>
  </si>
  <si>
    <t>pair</t>
  </si>
  <si>
    <t>AliBaba</t>
  </si>
  <si>
    <t>https://www.alibaba.com/product-detail/Fool-proof-Customizable-2-12-Pin_1601813292668.html?spm=a2700.prosearch.normal_offer.d_title.1f2c67afwcYWSw&amp;priceId=185196b435f84a70a6c39f6d9e3bd171</t>
  </si>
  <si>
    <t>Battery</t>
  </si>
  <si>
    <t>Amazon</t>
  </si>
  <si>
    <t>https://a.co/d/0cnfUvY7</t>
  </si>
  <si>
    <t>Control PCB</t>
  </si>
  <si>
    <t>JLCPCB</t>
  </si>
  <si>
    <t>Matrix PCB</t>
  </si>
  <si>
    <t>1N4148, 0603</t>
  </si>
  <si>
    <t>MCU module</t>
  </si>
  <si>
    <t>Holyiot 18010</t>
  </si>
  <si>
    <t>https://mou.sr/4pa7teo</t>
  </si>
  <si>
    <t>Hot-swap sockets</t>
  </si>
  <si>
    <t>https://a.co/d/0cJAZBIr</t>
  </si>
  <si>
    <t>Key switches</t>
  </si>
  <si>
    <t>Kailh Choc V2</t>
  </si>
  <si>
    <t>https://a.co/d/02MneUm9</t>
  </si>
  <si>
    <t>LED</t>
  </si>
  <si>
    <t>Screen</t>
  </si>
  <si>
    <t>nice!view</t>
  </si>
  <si>
    <t>Typeractive</t>
  </si>
  <si>
    <t>https://typeractive.xyz/products/nice-view</t>
  </si>
  <si>
    <t>Sensor PCB</t>
  </si>
  <si>
    <t>Trackball Sensor</t>
  </si>
  <si>
    <t>PMW-3610DM-SUDU</t>
  </si>
  <si>
    <t>AliExpress</t>
  </si>
  <si>
    <t>https://www.aliexpress.us/item/3256806932453023.html?src=bing&amp;exp_tag=pcgcp&amp;aff_fcid=2e2b09b2fbd644efa4f15eb08e97d466-1783655451549-02471-UneMJZVf&amp;aff_fsk=UneMJZVf&amp;aff_platform=aaf&amp;sk=UneMJZVf&amp;aff_trace_key=2e2b09b2fbd644efa4f15eb08e97d466-1783655451549-02471-UneMJZVf&amp;terminal_id=51ff4bafdbf245a3a42b20c98072a89b&amp;afSmartRedirect=n&amp;gatewayAdapt=glo2usa</t>
  </si>
  <si>
    <t>VIK nice!nano adapter PCB</t>
  </si>
  <si>
    <t>Mechanical</t>
  </si>
  <si>
    <t>Bottom Plates</t>
  </si>
  <si>
    <t>CraftCloud</t>
  </si>
  <si>
    <t>Case</t>
  </si>
  <si>
    <t>Hinge</t>
  </si>
  <si>
    <t>M2 screws</t>
  </si>
  <si>
    <t>Switch Plates</t>
  </si>
  <si>
    <t>SendCutSend</t>
  </si>
  <si>
    <t>Veichu VCN310 BTU</t>
  </si>
  <si>
    <t>https://www.alibaba.com/product-detail/VEICHU-VCN310-311-New-Stainless-Steel_1601020185379.html?spm=a2756.trade-carp.valid-supplier.2.27443192rIAFQj</t>
  </si>
  <si>
    <t>Tactile</t>
  </si>
  <si>
    <t>https://a.co/d/06izoJGP</t>
  </si>
  <si>
    <t>Keycap set</t>
  </si>
  <si>
    <t>3dKeycap</t>
  </si>
  <si>
    <t>https://3dkeycap.com/products/mx-chicago-steno-keycap-set?variant=46916802117890</t>
  </si>
  <si>
    <t>Minimum 2 R1, 10 R2, 10 R3, 10 R4, 6/4 R5, 6/8 thumb</t>
  </si>
  <si>
    <t>Clock pin</t>
  </si>
  <si>
    <t>Trackball</t>
  </si>
  <si>
    <t xml:space="preserve">34-35 mm </t>
  </si>
  <si>
    <t>Total</t>
  </si>
  <si>
    <t>Capacitor</t>
  </si>
  <si>
    <t>10uF</t>
  </si>
  <si>
    <t>1uF</t>
  </si>
  <si>
    <t>100nF</t>
  </si>
  <si>
    <t>10nF</t>
  </si>
  <si>
    <t>Resistor</t>
  </si>
  <si>
    <t>2MOhm</t>
  </si>
  <si>
    <t>FPC connector</t>
  </si>
  <si>
    <t>mini</t>
  </si>
  <si>
    <t>3.3uF</t>
  </si>
  <si>
    <t>FPC Connector</t>
  </si>
  <si>
    <t>Diode</t>
  </si>
  <si>
    <t>Heat-set insert</t>
  </si>
  <si>
    <t>PCB</t>
  </si>
  <si>
    <t>VIK PMW3610-narrow</t>
  </si>
  <si>
    <t>Set of 4 leaves</t>
  </si>
  <si>
    <t>Stainless steel, 1:48 taper</t>
  </si>
  <si>
    <t>2mm avg. diameter</t>
  </si>
  <si>
    <t>VIK Magnetic Connector, pair</t>
  </si>
  <si>
    <t>Control, pair</t>
  </si>
  <si>
    <t>Matrix, pair</t>
  </si>
  <si>
    <t>Voltage Regulator</t>
  </si>
  <si>
    <t>C22395363</t>
  </si>
  <si>
    <t>Megain MG6208T3-18</t>
  </si>
  <si>
    <t>1.8V 200mA output</t>
  </si>
  <si>
    <t>C14663</t>
  </si>
  <si>
    <t>C15849</t>
  </si>
  <si>
    <t>C2930148</t>
  </si>
  <si>
    <t>C57112</t>
  </si>
  <si>
    <t>C19702</t>
  </si>
  <si>
    <t>C51412</t>
  </si>
  <si>
    <t>C5213732</t>
  </si>
  <si>
    <t>Type A, 0.5mm pitch, 12-pin, [Length]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</si>
</sst>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" x14ac:knownFonts="1">
    <font>
      <sz val="11"/>
      <color theme="1"/>
      <name val="Fira Cod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8" fontId="0" fillId="0" borderId="0" xfId="0" applyNumberFormat="1"/>
  </cellXfs>
  <cellStyles count="1">
    <cellStyle name="Normal" xfId="0" builtinId="0"/>
  </cellStyles>
  <dxfs count="2">
    <dxf>
      <numFmt numFmtId="12" formatCode="&quot;$&quot;#,##0.00_);[Red]\(&quot;$&quot;#,##0.00\)"/>
    </dxf>
    <dxf>
      <numFmt numFmtId="12" formatCode="&quot;$&quot;#,##0.00_);[Red]\(&quot;$&quot;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ABCF6B-F62E-4CEF-876F-C6703C2CB05B}" name="Table1" displayName="Table1" ref="A1:L36" totalsRowCount="1">
  <autoFilter ref="A1:L35" xr:uid="{9EABCF6B-F62E-4CEF-876F-C6703C2CB05B}"/>
  <sortState xmlns:xlrd2="http://schemas.microsoft.com/office/spreadsheetml/2017/richdata2" ref="A2:L35">
    <sortCondition ref="A1:A35"/>
  </sortState>
  <tableColumns count="12">
    <tableColumn id="1" xr3:uid="{19AD007C-1126-4725-8EDE-A12F24968DA4}" name="Subassembly" totalsRowLabel="Total"/>
    <tableColumn id="2" xr3:uid="{51FB1722-BECC-4E2B-9DE0-3B6289D22CCB}" name="Category"/>
    <tableColumn id="3" xr3:uid="{3F936F54-9C17-413F-9E9B-EB050C4288F3}" name="Part"/>
    <tableColumn id="4" xr3:uid="{F908DBC4-BCC2-4B86-B1D6-463B1D56DC4A}" name="Specifications"/>
    <tableColumn id="5" xr3:uid="{D8A62A5C-A05A-467F-A909-1256057F5C5C}" name="Quantity" totalsRowFunction="sum"/>
    <tableColumn id="6" xr3:uid="{C01426BE-D444-4E9C-8A97-05D91017513B}" name="Unit Cost"/>
    <tableColumn id="7" xr3:uid="{A2118BAA-B64A-45C7-B265-AFB973C8A0D7}" name="Total Cost" totalsRowFunction="sum" dataDxfId="1" totalsRowDxfId="0">
      <calculatedColumnFormula>Table1[[#This Row],[Quantity]]*Table1[[#This Row],[Unit Cost]]</calculatedColumnFormula>
    </tableColumn>
    <tableColumn id="8" xr3:uid="{C8A708B7-2C3F-4503-B561-6841E3ACFDCE}" name="Note"/>
    <tableColumn id="9" xr3:uid="{D26373DB-73A3-4E01-AC20-0E5AC661DFD9}" name="LCSC"/>
    <tableColumn id="10" xr3:uid="{1ED687E2-6F87-4D9F-BDE5-20B1FB5FDEB3}" name="Source"/>
    <tableColumn id="11" xr3:uid="{14D8AD5C-E1EA-4822-9581-44AA15F6EAD7}" name="Link"/>
    <tableColumn id="12" xr3:uid="{D116C178-A7D5-4D1F-944C-89E3C8F67DC9}" name="Description" totalsRowFunction="cou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71132-6C41-404D-9956-FBB395F69D1A}">
  <dimension ref="A1:L36"/>
  <sheetViews>
    <sheetView tabSelected="1" workbookViewId="0">
      <selection activeCell="D27" sqref="D27"/>
    </sheetView>
  </sheetViews>
  <sheetFormatPr defaultRowHeight="15.75" x14ac:dyDescent="0.3"/>
  <cols>
    <col min="1" max="1" width="14.109375" bestFit="1" customWidth="1"/>
    <col min="2" max="2" width="11" bestFit="1" customWidth="1"/>
    <col min="3" max="3" width="30.5546875" bestFit="1" customWidth="1"/>
    <col min="4" max="4" width="38.77734375" bestFit="1" customWidth="1"/>
    <col min="5" max="5" width="10.77734375" bestFit="1" customWidth="1"/>
    <col min="6" max="6" width="11.77734375" bestFit="1" customWidth="1"/>
    <col min="7" max="7" width="12.77734375" bestFit="1" customWidth="1"/>
    <col min="8" max="8" width="6.77734375" bestFit="1" customWidth="1"/>
    <col min="9" max="9" width="10" bestFit="1" customWidth="1"/>
    <col min="10" max="10" width="12" bestFit="1" customWidth="1"/>
    <col min="11" max="11" width="26.5546875" customWidth="1"/>
    <col min="12" max="12" width="54.2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15</v>
      </c>
      <c r="B2" t="s">
        <v>12</v>
      </c>
      <c r="C2" t="s">
        <v>16</v>
      </c>
      <c r="D2" t="s">
        <v>17</v>
      </c>
      <c r="E2">
        <v>1</v>
      </c>
      <c r="F2" s="1">
        <v>3.52</v>
      </c>
      <c r="G2" s="1">
        <f>Table1[[#This Row],[Quantity]]*Table1[[#This Row],[Unit Cost]]</f>
        <v>3.52</v>
      </c>
      <c r="H2" t="s">
        <v>18</v>
      </c>
      <c r="J2" t="s">
        <v>19</v>
      </c>
      <c r="K2" t="s">
        <v>20</v>
      </c>
    </row>
    <row r="3" spans="1:12" x14ac:dyDescent="0.3">
      <c r="A3" t="s">
        <v>15</v>
      </c>
      <c r="B3" t="s">
        <v>12</v>
      </c>
      <c r="C3" t="s">
        <v>80</v>
      </c>
      <c r="D3" t="s">
        <v>85</v>
      </c>
      <c r="E3">
        <v>2</v>
      </c>
      <c r="F3" s="1">
        <v>1.97</v>
      </c>
      <c r="G3" s="1">
        <f>Table1[[#This Row],[Quantity]]*Table1[[#This Row],[Unit Cost]]</f>
        <v>3.94</v>
      </c>
      <c r="J3" t="s">
        <v>25</v>
      </c>
    </row>
    <row r="4" spans="1:12" x14ac:dyDescent="0.3">
      <c r="A4" t="s">
        <v>24</v>
      </c>
      <c r="B4" t="s">
        <v>12</v>
      </c>
      <c r="C4" t="s">
        <v>80</v>
      </c>
      <c r="D4" t="s">
        <v>86</v>
      </c>
      <c r="E4">
        <v>1</v>
      </c>
      <c r="F4" s="1">
        <v>5.45</v>
      </c>
      <c r="G4" s="1">
        <f>Table1[[#This Row],[Quantity]]*Table1[[#This Row],[Unit Cost]]</f>
        <v>5.45</v>
      </c>
      <c r="J4" t="s">
        <v>25</v>
      </c>
    </row>
    <row r="5" spans="1:12" x14ac:dyDescent="0.3">
      <c r="A5" t="s">
        <v>24</v>
      </c>
      <c r="B5" t="s">
        <v>12</v>
      </c>
      <c r="C5" t="s">
        <v>28</v>
      </c>
      <c r="D5" t="s">
        <v>29</v>
      </c>
      <c r="E5">
        <v>1</v>
      </c>
      <c r="F5" s="1">
        <v>9.11</v>
      </c>
      <c r="G5" s="1">
        <f>Table1[[#This Row],[Quantity]]*Table1[[#This Row],[Unit Cost]]</f>
        <v>9.11</v>
      </c>
      <c r="J5" t="s">
        <v>14</v>
      </c>
      <c r="K5" t="s">
        <v>30</v>
      </c>
    </row>
    <row r="6" spans="1:12" x14ac:dyDescent="0.3">
      <c r="A6" t="s">
        <v>51</v>
      </c>
      <c r="B6" t="s">
        <v>47</v>
      </c>
      <c r="C6" t="s">
        <v>63</v>
      </c>
      <c r="D6" t="s">
        <v>84</v>
      </c>
      <c r="E6">
        <v>8</v>
      </c>
      <c r="G6" s="1">
        <f>Table1[[#This Row],[Quantity]]*Table1[[#This Row],[Unit Cost]]</f>
        <v>0</v>
      </c>
      <c r="L6" t="s">
        <v>83</v>
      </c>
    </row>
    <row r="7" spans="1:12" x14ac:dyDescent="0.3">
      <c r="A7" t="s">
        <v>51</v>
      </c>
      <c r="B7" t="s">
        <v>47</v>
      </c>
      <c r="C7" t="s">
        <v>51</v>
      </c>
      <c r="E7">
        <v>2</v>
      </c>
      <c r="F7" s="1">
        <v>6.69</v>
      </c>
      <c r="G7" s="1">
        <f>Table1[[#This Row],[Quantity]]*Table1[[#This Row],[Unit Cost]]</f>
        <v>13.38</v>
      </c>
      <c r="J7" t="s">
        <v>49</v>
      </c>
      <c r="L7" t="s">
        <v>82</v>
      </c>
    </row>
    <row r="8" spans="1:12" x14ac:dyDescent="0.3">
      <c r="A8" t="s">
        <v>26</v>
      </c>
      <c r="B8" t="s">
        <v>12</v>
      </c>
      <c r="C8" t="s">
        <v>78</v>
      </c>
      <c r="D8" t="s">
        <v>27</v>
      </c>
      <c r="E8">
        <v>44</v>
      </c>
      <c r="G8" s="1">
        <f>Table1[[#This Row],[Quantity]]*Table1[[#This Row],[Unit Cost]]</f>
        <v>0</v>
      </c>
      <c r="J8" t="s">
        <v>14</v>
      </c>
    </row>
    <row r="9" spans="1:12" x14ac:dyDescent="0.3">
      <c r="A9" t="s">
        <v>26</v>
      </c>
      <c r="B9" t="s">
        <v>12</v>
      </c>
      <c r="C9" t="s">
        <v>31</v>
      </c>
      <c r="E9">
        <v>44</v>
      </c>
      <c r="F9" s="1">
        <v>0.14000000000000001</v>
      </c>
      <c r="G9" s="1">
        <f>Table1[[#This Row],[Quantity]]*Table1[[#This Row],[Unit Cost]]</f>
        <v>6.16</v>
      </c>
      <c r="J9" t="s">
        <v>22</v>
      </c>
      <c r="K9" t="s">
        <v>32</v>
      </c>
    </row>
    <row r="10" spans="1:12" x14ac:dyDescent="0.3">
      <c r="A10" t="s">
        <v>26</v>
      </c>
      <c r="B10" t="s">
        <v>12</v>
      </c>
      <c r="C10" t="s">
        <v>36</v>
      </c>
      <c r="E10">
        <v>1</v>
      </c>
      <c r="G10" s="1">
        <f>Table1[[#This Row],[Quantity]]*Table1[[#This Row],[Unit Cost]]</f>
        <v>0</v>
      </c>
      <c r="J10" t="s">
        <v>14</v>
      </c>
    </row>
    <row r="11" spans="1:12" x14ac:dyDescent="0.3">
      <c r="A11" t="s">
        <v>26</v>
      </c>
      <c r="B11" t="s">
        <v>12</v>
      </c>
      <c r="C11" t="s">
        <v>80</v>
      </c>
      <c r="D11" t="s">
        <v>87</v>
      </c>
      <c r="E11">
        <v>1</v>
      </c>
      <c r="F11" s="1">
        <v>5.13</v>
      </c>
      <c r="G11" s="1">
        <f>Table1[[#This Row],[Quantity]]*Table1[[#This Row],[Unit Cost]]</f>
        <v>5.13</v>
      </c>
      <c r="J11" t="s">
        <v>25</v>
      </c>
    </row>
    <row r="12" spans="1:12" x14ac:dyDescent="0.3">
      <c r="A12" t="s">
        <v>37</v>
      </c>
      <c r="B12" t="s">
        <v>12</v>
      </c>
      <c r="C12" t="s">
        <v>37</v>
      </c>
      <c r="D12" t="s">
        <v>38</v>
      </c>
      <c r="E12">
        <v>1</v>
      </c>
      <c r="F12" s="1">
        <v>20</v>
      </c>
      <c r="G12" s="1">
        <f>Table1[[#This Row],[Quantity]]*Table1[[#This Row],[Unit Cost]]</f>
        <v>20</v>
      </c>
      <c r="J12" t="s">
        <v>39</v>
      </c>
      <c r="K12" t="s">
        <v>40</v>
      </c>
    </row>
    <row r="13" spans="1:12" x14ac:dyDescent="0.3">
      <c r="A13" t="s">
        <v>37</v>
      </c>
      <c r="B13" t="s">
        <v>12</v>
      </c>
      <c r="C13" t="s">
        <v>77</v>
      </c>
      <c r="E13">
        <v>1</v>
      </c>
      <c r="F13" s="1"/>
      <c r="G13" s="1">
        <f>Table1[[#This Row],[Quantity]]*Table1[[#This Row],[Unit Cost]]</f>
        <v>0</v>
      </c>
    </row>
    <row r="14" spans="1:12" x14ac:dyDescent="0.3">
      <c r="A14" t="s">
        <v>37</v>
      </c>
      <c r="B14" t="s">
        <v>12</v>
      </c>
      <c r="C14" t="s">
        <v>46</v>
      </c>
      <c r="E14">
        <v>1</v>
      </c>
      <c r="F14" s="1">
        <v>0.66</v>
      </c>
      <c r="G14" s="1">
        <f>Table1[[#This Row],[Quantity]]*Table1[[#This Row],[Unit Cost]]</f>
        <v>0.66</v>
      </c>
      <c r="J14" t="s">
        <v>25</v>
      </c>
    </row>
    <row r="15" spans="1:12" x14ac:dyDescent="0.3">
      <c r="A15" t="s">
        <v>41</v>
      </c>
      <c r="B15" t="s">
        <v>12</v>
      </c>
      <c r="C15" t="s">
        <v>67</v>
      </c>
      <c r="D15" t="s">
        <v>68</v>
      </c>
      <c r="E15">
        <v>2</v>
      </c>
      <c r="G15" s="1">
        <f>Table1[[#This Row],[Quantity]]*Table1[[#This Row],[Unit Cost]]</f>
        <v>0</v>
      </c>
      <c r="I15" t="s">
        <v>96</v>
      </c>
      <c r="J15" t="s">
        <v>14</v>
      </c>
    </row>
    <row r="16" spans="1:12" x14ac:dyDescent="0.3">
      <c r="A16" t="s">
        <v>41</v>
      </c>
      <c r="B16" t="s">
        <v>12</v>
      </c>
      <c r="C16" t="s">
        <v>67</v>
      </c>
      <c r="D16" t="s">
        <v>76</v>
      </c>
      <c r="E16">
        <v>2</v>
      </c>
      <c r="G16" s="1">
        <f>Table1[[#This Row],[Quantity]]*Table1[[#This Row],[Unit Cost]]</f>
        <v>0</v>
      </c>
      <c r="I16" t="s">
        <v>97</v>
      </c>
    </row>
    <row r="17" spans="1:12" x14ac:dyDescent="0.3">
      <c r="A17" t="s">
        <v>41</v>
      </c>
      <c r="B17" t="s">
        <v>12</v>
      </c>
      <c r="C17" t="s">
        <v>67</v>
      </c>
      <c r="D17" t="s">
        <v>69</v>
      </c>
      <c r="E17">
        <v>4</v>
      </c>
      <c r="G17" s="1">
        <f>Table1[[#This Row],[Quantity]]*Table1[[#This Row],[Unit Cost]]</f>
        <v>0</v>
      </c>
      <c r="I17" t="s">
        <v>93</v>
      </c>
    </row>
    <row r="18" spans="1:12" x14ac:dyDescent="0.3">
      <c r="A18" t="s">
        <v>41</v>
      </c>
      <c r="B18" t="s">
        <v>12</v>
      </c>
      <c r="C18" t="s">
        <v>67</v>
      </c>
      <c r="D18" t="s">
        <v>70</v>
      </c>
      <c r="E18">
        <v>6</v>
      </c>
      <c r="G18" s="1">
        <f>Table1[[#This Row],[Quantity]]*Table1[[#This Row],[Unit Cost]]</f>
        <v>0</v>
      </c>
      <c r="I18" t="s">
        <v>92</v>
      </c>
    </row>
    <row r="19" spans="1:12" x14ac:dyDescent="0.3">
      <c r="A19" t="s">
        <v>41</v>
      </c>
      <c r="B19" t="s">
        <v>12</v>
      </c>
      <c r="C19" t="s">
        <v>67</v>
      </c>
      <c r="D19" t="s">
        <v>71</v>
      </c>
      <c r="E19">
        <v>4</v>
      </c>
      <c r="G19" s="1">
        <f>Table1[[#This Row],[Quantity]]*Table1[[#This Row],[Unit Cost]]</f>
        <v>0</v>
      </c>
      <c r="I19" t="s">
        <v>95</v>
      </c>
    </row>
    <row r="20" spans="1:12" x14ac:dyDescent="0.3">
      <c r="A20" t="s">
        <v>41</v>
      </c>
      <c r="B20" t="s">
        <v>12</v>
      </c>
      <c r="C20" t="s">
        <v>72</v>
      </c>
      <c r="D20" t="s">
        <v>73</v>
      </c>
      <c r="E20">
        <v>2</v>
      </c>
      <c r="G20" s="1">
        <f>Table1[[#This Row],[Quantity]]*Table1[[#This Row],[Unit Cost]]</f>
        <v>0</v>
      </c>
      <c r="I20" t="s">
        <v>94</v>
      </c>
    </row>
    <row r="21" spans="1:12" x14ac:dyDescent="0.3">
      <c r="A21" t="s">
        <v>41</v>
      </c>
      <c r="B21" t="s">
        <v>12</v>
      </c>
      <c r="C21" t="s">
        <v>88</v>
      </c>
      <c r="D21" t="s">
        <v>90</v>
      </c>
      <c r="G21" s="1">
        <f>Table1[[#This Row],[Quantity]]*Table1[[#This Row],[Unit Cost]]</f>
        <v>0</v>
      </c>
      <c r="I21" t="s">
        <v>89</v>
      </c>
      <c r="L21" t="s">
        <v>91</v>
      </c>
    </row>
    <row r="22" spans="1:12" x14ac:dyDescent="0.3">
      <c r="A22" t="s">
        <v>41</v>
      </c>
      <c r="B22" t="s">
        <v>12</v>
      </c>
      <c r="C22" t="s">
        <v>42</v>
      </c>
      <c r="D22" t="s">
        <v>43</v>
      </c>
      <c r="E22">
        <v>2</v>
      </c>
      <c r="F22" s="1">
        <v>5.9</v>
      </c>
      <c r="G22" s="1">
        <f>Table1[[#This Row],[Quantity]]*Table1[[#This Row],[Unit Cost]]</f>
        <v>11.8</v>
      </c>
      <c r="J22" t="s">
        <v>44</v>
      </c>
      <c r="K22" t="s">
        <v>45</v>
      </c>
    </row>
    <row r="23" spans="1:12" x14ac:dyDescent="0.3">
      <c r="A23" t="s">
        <v>41</v>
      </c>
      <c r="B23" t="s">
        <v>12</v>
      </c>
      <c r="C23" t="s">
        <v>74</v>
      </c>
      <c r="D23" t="s">
        <v>75</v>
      </c>
      <c r="E23">
        <v>2</v>
      </c>
      <c r="F23" s="1"/>
      <c r="G23" s="1">
        <f>Table1[[#This Row],[Quantity]]*Table1[[#This Row],[Unit Cost]]</f>
        <v>0</v>
      </c>
      <c r="I23" t="s">
        <v>98</v>
      </c>
    </row>
    <row r="24" spans="1:12" x14ac:dyDescent="0.3">
      <c r="A24" t="s">
        <v>41</v>
      </c>
      <c r="B24" t="s">
        <v>12</v>
      </c>
      <c r="C24" t="s">
        <v>80</v>
      </c>
      <c r="D24" t="s">
        <v>81</v>
      </c>
      <c r="E24">
        <v>2</v>
      </c>
      <c r="F24" s="1">
        <v>0.63</v>
      </c>
      <c r="G24" s="1">
        <f>Table1[[#This Row],[Quantity]]*Table1[[#This Row],[Unit Cost]]</f>
        <v>1.26</v>
      </c>
      <c r="J24" t="s">
        <v>25</v>
      </c>
    </row>
    <row r="25" spans="1:12" x14ac:dyDescent="0.3">
      <c r="B25" t="s">
        <v>12</v>
      </c>
      <c r="C25" t="s">
        <v>21</v>
      </c>
      <c r="D25">
        <v>401230</v>
      </c>
      <c r="E25">
        <v>1</v>
      </c>
      <c r="F25" s="1">
        <v>7.99</v>
      </c>
      <c r="G25" s="1">
        <f>Table1[[#This Row],[Quantity]]*Table1[[#This Row],[Unit Cost]]</f>
        <v>7.99</v>
      </c>
      <c r="J25" t="s">
        <v>22</v>
      </c>
      <c r="K25" t="s">
        <v>23</v>
      </c>
    </row>
    <row r="26" spans="1:12" x14ac:dyDescent="0.3">
      <c r="B26" t="s">
        <v>12</v>
      </c>
      <c r="C26" t="s">
        <v>13</v>
      </c>
      <c r="D26" t="s">
        <v>99</v>
      </c>
      <c r="E26">
        <v>7</v>
      </c>
      <c r="G26" s="1">
        <f>Table1[[#This Row],[Quantity]]*Table1[[#This Row],[Unit Cost]]</f>
        <v>0</v>
      </c>
      <c r="J26" t="s">
        <v>14</v>
      </c>
    </row>
    <row r="27" spans="1:12" x14ac:dyDescent="0.3">
      <c r="B27" t="s">
        <v>12</v>
      </c>
      <c r="C27" t="s">
        <v>33</v>
      </c>
      <c r="D27" t="s">
        <v>34</v>
      </c>
      <c r="E27">
        <v>44</v>
      </c>
      <c r="F27" s="1">
        <v>0.39</v>
      </c>
      <c r="G27" s="1">
        <f>Table1[[#This Row],[Quantity]]*Table1[[#This Row],[Unit Cost]]</f>
        <v>17.16</v>
      </c>
      <c r="J27" t="s">
        <v>22</v>
      </c>
      <c r="K27" t="s">
        <v>35</v>
      </c>
    </row>
    <row r="28" spans="1:12" x14ac:dyDescent="0.3">
      <c r="B28" t="s">
        <v>47</v>
      </c>
      <c r="C28" t="s">
        <v>48</v>
      </c>
      <c r="E28">
        <v>2</v>
      </c>
      <c r="G28" s="1">
        <f>Table1[[#This Row],[Quantity]]*Table1[[#This Row],[Unit Cost]]</f>
        <v>0</v>
      </c>
      <c r="J28" t="s">
        <v>49</v>
      </c>
    </row>
    <row r="29" spans="1:12" x14ac:dyDescent="0.3">
      <c r="B29" t="s">
        <v>47</v>
      </c>
      <c r="C29" t="s">
        <v>50</v>
      </c>
      <c r="D29" t="s">
        <v>18</v>
      </c>
      <c r="E29">
        <v>1</v>
      </c>
      <c r="F29" s="1">
        <v>41.41</v>
      </c>
      <c r="G29" s="1">
        <f>Table1[[#This Row],[Quantity]]*Table1[[#This Row],[Unit Cost]]</f>
        <v>41.41</v>
      </c>
      <c r="J29" t="s">
        <v>49</v>
      </c>
    </row>
    <row r="30" spans="1:12" x14ac:dyDescent="0.3">
      <c r="B30" t="s">
        <v>47</v>
      </c>
      <c r="C30" t="s">
        <v>79</v>
      </c>
      <c r="F30" s="1"/>
      <c r="G30" s="1">
        <f>Table1[[#This Row],[Quantity]]*Table1[[#This Row],[Unit Cost]]</f>
        <v>0</v>
      </c>
    </row>
    <row r="31" spans="1:12" x14ac:dyDescent="0.3">
      <c r="B31" t="s">
        <v>47</v>
      </c>
      <c r="C31" t="s">
        <v>52</v>
      </c>
      <c r="G31" s="1">
        <f>Table1[[#This Row],[Quantity]]*Table1[[#This Row],[Unit Cost]]</f>
        <v>0</v>
      </c>
    </row>
    <row r="32" spans="1:12" x14ac:dyDescent="0.3">
      <c r="B32" t="s">
        <v>47</v>
      </c>
      <c r="C32" t="s">
        <v>53</v>
      </c>
      <c r="E32">
        <v>2</v>
      </c>
      <c r="G32" s="1">
        <f>Table1[[#This Row],[Quantity]]*Table1[[#This Row],[Unit Cost]]</f>
        <v>0</v>
      </c>
      <c r="J32" t="s">
        <v>54</v>
      </c>
    </row>
    <row r="33" spans="1:12" x14ac:dyDescent="0.3">
      <c r="B33" t="s">
        <v>47</v>
      </c>
      <c r="C33" t="s">
        <v>55</v>
      </c>
      <c r="E33">
        <v>4</v>
      </c>
      <c r="F33" s="1">
        <v>1.21</v>
      </c>
      <c r="G33" s="1">
        <f>Table1[[#This Row],[Quantity]]*Table1[[#This Row],[Unit Cost]]</f>
        <v>4.84</v>
      </c>
      <c r="J33" t="s">
        <v>19</v>
      </c>
      <c r="K33" t="s">
        <v>56</v>
      </c>
    </row>
    <row r="34" spans="1:12" x14ac:dyDescent="0.3">
      <c r="B34" t="s">
        <v>57</v>
      </c>
      <c r="C34" t="s">
        <v>59</v>
      </c>
      <c r="E34">
        <v>1</v>
      </c>
      <c r="F34" s="1">
        <v>116</v>
      </c>
      <c r="G34" s="1">
        <f>Table1[[#This Row],[Quantity]]*Table1[[#This Row],[Unit Cost]]</f>
        <v>116</v>
      </c>
      <c r="J34" t="s">
        <v>60</v>
      </c>
      <c r="K34" t="s">
        <v>61</v>
      </c>
      <c r="L34" t="s">
        <v>62</v>
      </c>
    </row>
    <row r="35" spans="1:12" x14ac:dyDescent="0.3">
      <c r="B35" t="s">
        <v>57</v>
      </c>
      <c r="C35" t="s">
        <v>64</v>
      </c>
      <c r="D35" t="s">
        <v>65</v>
      </c>
      <c r="E35">
        <v>1</v>
      </c>
      <c r="F35" s="1">
        <v>11.99</v>
      </c>
      <c r="G35" s="1">
        <f>Table1[[#This Row],[Quantity]]*Table1[[#This Row],[Unit Cost]]</f>
        <v>11.99</v>
      </c>
      <c r="J35" t="s">
        <v>22</v>
      </c>
      <c r="K35" t="s">
        <v>58</v>
      </c>
    </row>
    <row r="36" spans="1:12" x14ac:dyDescent="0.3">
      <c r="A36" t="s">
        <v>66</v>
      </c>
      <c r="E36">
        <f>SUBTOTAL(109,Table1[Quantity])</f>
        <v>197</v>
      </c>
      <c r="G36" s="1">
        <f>SUBTOTAL(109,Table1[Total Cost])</f>
        <v>279.79999999999995</v>
      </c>
      <c r="L36">
        <f>SUBTOTAL(103,Table1[Description])</f>
        <v>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Lucas</dc:creator>
  <cp:lastModifiedBy>Joshua Lucas</cp:lastModifiedBy>
  <dcterms:created xsi:type="dcterms:W3CDTF">2026-07-10T15:22:46Z</dcterms:created>
  <dcterms:modified xsi:type="dcterms:W3CDTF">2026-07-10T16:17:33Z</dcterms:modified>
</cp:coreProperties>
</file>